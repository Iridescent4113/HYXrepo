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甘特图" sheetId="1" state="visible" r:id="rId1"/>
    <sheet xmlns:r="http://schemas.openxmlformats.org/officeDocument/2006/relationships" name="任务甘特图" sheetId="2" state="visible" r:id="rId2"/>
    <sheet xmlns:r="http://schemas.openxmlformats.org/officeDocument/2006/relationships" name="里程碑" sheetId="3" state="visible" r:id="rId3"/>
    <sheet xmlns:r="http://schemas.openxmlformats.org/officeDocument/2006/relationships" name="使用说明" sheetId="4" state="visible" r:id="rId4"/>
  </sheets>
  <definedNames>
    <definedName name="_xlnm.Print_Titles" localSheetId="0">'阶段甘特图'!$1:$5</definedName>
    <definedName name="_xlnm.Print_Area" localSheetId="0">'阶段甘特图'!$A$1:$V$15</definedName>
    <definedName name="_xlnm._FilterDatabase" localSheetId="1" hidden="1">'任务甘特图'!$A$5:$Z$25</definedName>
    <definedName name="_xlnm.Print_Titles" localSheetId="1">'任务甘特图'!$1:$5</definedName>
    <definedName name="_xlnm.Print_Area" localSheetId="1">'任务甘特图'!$A$1:$Z$27</definedName>
    <definedName name="_xlnm.Print_Area" localSheetId="2">'里程碑'!$A$1:$E$10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"/>
  </numFmts>
  <fonts count="7">
    <font>
      <name val="Calibri"/>
      <family val="2"/>
      <color theme="1"/>
      <sz val="11"/>
      <scheme val="minor"/>
    </font>
    <font>
      <name val="Microsoft YaHei"/>
      <b val="1"/>
      <color rgb="00132E43"/>
      <sz val="18"/>
    </font>
    <font>
      <name val="Microsoft YaHei"/>
      <color rgb="005A6E7D"/>
      <sz val="10"/>
    </font>
    <font>
      <name val="Microsoft YaHei"/>
      <b val="1"/>
      <color rgb="00FFFFFF"/>
      <sz val="10"/>
    </font>
    <font>
      <name val="Arial"/>
      <color rgb="00FFFFFF"/>
      <sz val="12"/>
    </font>
    <font>
      <name val="Microsoft YaHei"/>
      <sz val="11"/>
    </font>
    <font>
      <name val="Microsoft YaHei"/>
      <color rgb="00132E43"/>
      <sz val="10"/>
    </font>
  </fonts>
  <fills count="4">
    <fill>
      <patternFill/>
    </fill>
    <fill>
      <patternFill patternType="gray125"/>
    </fill>
    <fill>
      <patternFill patternType="solid">
        <fgColor rgb="00132E43"/>
      </patternFill>
    </fill>
    <fill>
      <patternFill patternType="solid">
        <fgColor rgb="00E5F3F5"/>
      </patternFill>
    </fill>
  </fills>
  <borders count="2">
    <border>
      <left/>
      <right/>
      <top/>
      <bottom/>
      <diagonal/>
    </border>
    <border>
      <left style="hair">
        <color rgb="00D9E3EA"/>
      </left>
      <bottom style="hair">
        <color rgb="00D9E3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9" fontId="6" fillId="0" borderId="0" applyAlignment="1" pivotButton="0" quotePrefix="0" xfId="0">
      <alignment vertical="center" wrapText="1"/>
    </xf>
    <xf numFmtId="164" fontId="6" fillId="3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9" fontId="0" fillId="0" borderId="0" pivotButton="0" quotePrefix="0" xfId="0"/>
    <xf numFmtId="164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087F8C"/>
        </patternFill>
      </fill>
    </dxf>
    <dxf>
      <fill>
        <patternFill patternType="solid">
          <fgColor rgb="00244F70"/>
        </patternFill>
      </fill>
    </dxf>
    <dxf>
      <fill>
        <patternFill patternType="solid">
          <fgColor rgb="00527A97"/>
        </patternFill>
      </fill>
    </dxf>
    <dxf>
      <fill>
        <patternFill patternType="solid">
          <fgColor rgb="004D6AB1"/>
        </patternFill>
      </fill>
    </dxf>
    <dxf>
      <fill>
        <patternFill patternType="solid">
          <fgColor rgb="00219C91"/>
        </patternFill>
      </fill>
    </dxf>
    <dxf>
      <fill>
        <patternFill patternType="solid">
          <fgColor rgb="00B87B39"/>
        </patternFill>
      </fill>
    </dxf>
    <dxf>
      <fill>
        <patternFill patternType="solid">
          <fgColor rgb="0069768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showGridLines="0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7" customWidth="1" min="4" max="4"/>
    <col width="14" customWidth="1" min="5" max="5"/>
    <col width="14" customWidth="1" min="6" max="6"/>
    <col width="8" customWidth="1" min="7" max="7"/>
    <col width="3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32" customHeight="1">
      <c r="A1" s="1" t="inlineStr">
        <is>
          <t>AI＋代谢管理｜阶段甘特图</t>
        </is>
      </c>
    </row>
    <row r="2" ht="32" customHeight="1">
      <c r="A2" s="2" t="inlineStr">
        <is>
          <t>基线：2026-10-19～2027-01-24；未来完成度为计划值。修改E/F日期后，周条带自动更新。</t>
        </is>
      </c>
    </row>
    <row r="4">
      <c r="I4" t="inlineStr">
        <is>
          <t>W1</t>
        </is>
      </c>
      <c r="J4" t="inlineStr">
        <is>
          <t>W2</t>
        </is>
      </c>
      <c r="K4" t="inlineStr">
        <is>
          <t>W3</t>
        </is>
      </c>
      <c r="L4" t="inlineStr">
        <is>
          <t>W4</t>
        </is>
      </c>
      <c r="M4" t="inlineStr">
        <is>
          <t>W5</t>
        </is>
      </c>
      <c r="N4" t="inlineStr">
        <is>
          <t>W6</t>
        </is>
      </c>
      <c r="O4" t="inlineStr">
        <is>
          <t>W7</t>
        </is>
      </c>
      <c r="P4" t="inlineStr">
        <is>
          <t>W8</t>
        </is>
      </c>
      <c r="Q4" t="inlineStr">
        <is>
          <t>W9</t>
        </is>
      </c>
      <c r="R4" t="inlineStr">
        <is>
          <t>W10</t>
        </is>
      </c>
      <c r="S4" t="inlineStr">
        <is>
          <t>W11</t>
        </is>
      </c>
      <c r="T4" t="inlineStr">
        <is>
          <t>W12</t>
        </is>
      </c>
      <c r="U4" t="inlineStr">
        <is>
          <t>W13</t>
        </is>
      </c>
      <c r="V4" t="inlineStr">
        <is>
          <t>W14</t>
        </is>
      </c>
    </row>
    <row r="5" ht="31" customHeight="1">
      <c r="A5" s="3" t="inlineStr">
        <is>
          <t>阶段</t>
        </is>
      </c>
      <c r="B5" s="3" t="inlineStr">
        <is>
          <t>周次</t>
        </is>
      </c>
      <c r="C5" s="3" t="inlineStr">
        <is>
          <t>决策/检查点</t>
        </is>
      </c>
      <c r="D5" s="3" t="inlineStr">
        <is>
          <t>计划累计完成度</t>
        </is>
      </c>
      <c r="E5" s="3" t="inlineStr">
        <is>
          <t>计划开始</t>
        </is>
      </c>
      <c r="F5" s="3" t="inlineStr">
        <is>
          <t>计划完成</t>
        </is>
      </c>
      <c r="G5" s="3" t="inlineStr">
        <is>
          <t>天数</t>
        </is>
      </c>
      <c r="H5" s="3" t="inlineStr">
        <is>
          <t>阶段交付</t>
        </is>
      </c>
      <c r="I5" s="4" t="n">
        <v>46314</v>
      </c>
      <c r="J5" s="4" t="n">
        <v>46321</v>
      </c>
      <c r="K5" s="4" t="n">
        <v>46328</v>
      </c>
      <c r="L5" s="4" t="n">
        <v>46335</v>
      </c>
      <c r="M5" s="4" t="n">
        <v>46342</v>
      </c>
      <c r="N5" s="4" t="n">
        <v>46349</v>
      </c>
      <c r="O5" s="4" t="n">
        <v>46356</v>
      </c>
      <c r="P5" s="4" t="n">
        <v>46363</v>
      </c>
      <c r="Q5" s="4" t="n">
        <v>46370</v>
      </c>
      <c r="R5" s="4" t="n">
        <v>46377</v>
      </c>
      <c r="S5" s="4" t="n">
        <v>46384</v>
      </c>
      <c r="T5" s="4" t="n">
        <v>46391</v>
      </c>
      <c r="U5" s="4" t="n">
        <v>46398</v>
      </c>
      <c r="V5" s="4" t="n">
        <v>46405</v>
      </c>
    </row>
    <row r="6" ht="44" customHeight="1">
      <c r="A6" s="5" t="inlineStr">
        <is>
          <t>概念与资源</t>
        </is>
      </c>
      <c r="B6" s="5" t="inlineStr">
        <is>
          <t>W1–2</t>
        </is>
      </c>
      <c r="C6" s="5" t="inlineStr">
        <is>
          <t>DCP1</t>
        </is>
      </c>
      <c r="D6" s="6" t="n">
        <v>0.1</v>
      </c>
      <c r="E6" s="7" t="n">
        <v>46314</v>
      </c>
      <c r="F6" s="7" t="n">
        <v>46327</v>
      </c>
      <c r="G6" s="5">
        <f>F6-E6+1</f>
        <v/>
      </c>
      <c r="H6" s="5" t="inlineStr">
        <is>
          <t>资源/范围/接口路径</t>
        </is>
      </c>
      <c r="I6" s="8">
        <f>IF(AND($E6&lt;=I$5+6,$F6&gt;=I$5),"■","")</f>
        <v/>
      </c>
      <c r="J6" s="8">
        <f>IF(AND($E6&lt;=J$5+6,$F6&gt;=J$5),"■","")</f>
        <v/>
      </c>
      <c r="K6" s="8">
        <f>IF(AND($E6&lt;=K$5+6,$F6&gt;=K$5),"■","")</f>
        <v/>
      </c>
      <c r="L6" s="8">
        <f>IF(AND($E6&lt;=L$5+6,$F6&gt;=L$5),"■","")</f>
        <v/>
      </c>
      <c r="M6" s="8">
        <f>IF(AND($E6&lt;=M$5+6,$F6&gt;=M$5),"■","")</f>
        <v/>
      </c>
      <c r="N6" s="8">
        <f>IF(AND($E6&lt;=N$5+6,$F6&gt;=N$5),"■","")</f>
        <v/>
      </c>
      <c r="O6" s="8">
        <f>IF(AND($E6&lt;=O$5+6,$F6&gt;=O$5),"■","")</f>
        <v/>
      </c>
      <c r="P6" s="8">
        <f>IF(AND($E6&lt;=P$5+6,$F6&gt;=P$5),"■","")</f>
        <v/>
      </c>
      <c r="Q6" s="8">
        <f>IF(AND($E6&lt;=Q$5+6,$F6&gt;=Q$5),"■","")</f>
        <v/>
      </c>
      <c r="R6" s="8">
        <f>IF(AND($E6&lt;=R$5+6,$F6&gt;=R$5),"■","")</f>
        <v/>
      </c>
      <c r="S6" s="8">
        <f>IF(AND($E6&lt;=S$5+6,$F6&gt;=S$5),"■","")</f>
        <v/>
      </c>
      <c r="T6" s="8">
        <f>IF(AND($E6&lt;=T$5+6,$F6&gt;=T$5),"■","")</f>
        <v/>
      </c>
      <c r="U6" s="8">
        <f>IF(AND($E6&lt;=U$5+6,$F6&gt;=U$5),"■","")</f>
        <v/>
      </c>
      <c r="V6" s="8">
        <f>IF(AND($E6&lt;=V$5+6,$F6&gt;=V$5),"■","")</f>
        <v/>
      </c>
    </row>
    <row r="7" ht="44" customHeight="1">
      <c r="A7" s="5" t="inlineStr">
        <is>
          <t>计划与方案冻结</t>
        </is>
      </c>
      <c r="B7" s="5" t="inlineStr">
        <is>
          <t>W3–4</t>
        </is>
      </c>
      <c r="C7" s="5" t="inlineStr">
        <is>
          <t>DCP2</t>
        </is>
      </c>
      <c r="D7" s="6" t="n">
        <v>0.25</v>
      </c>
      <c r="E7" s="7" t="n">
        <v>46328</v>
      </c>
      <c r="F7" s="7" t="n">
        <v>46341</v>
      </c>
      <c r="G7" s="5">
        <f>F7-E7+1</f>
        <v/>
      </c>
      <c r="H7" s="5" t="inlineStr">
        <is>
          <t>PRD/PoC/验收冻结</t>
        </is>
      </c>
      <c r="I7" s="8">
        <f>IF(AND($E7&lt;=I$5+6,$F7&gt;=I$5),"■","")</f>
        <v/>
      </c>
      <c r="J7" s="8">
        <f>IF(AND($E7&lt;=J$5+6,$F7&gt;=J$5),"■","")</f>
        <v/>
      </c>
      <c r="K7" s="8">
        <f>IF(AND($E7&lt;=K$5+6,$F7&gt;=K$5),"■","")</f>
        <v/>
      </c>
      <c r="L7" s="8">
        <f>IF(AND($E7&lt;=L$5+6,$F7&gt;=L$5),"■","")</f>
        <v/>
      </c>
      <c r="M7" s="8">
        <f>IF(AND($E7&lt;=M$5+6,$F7&gt;=M$5),"■","")</f>
        <v/>
      </c>
      <c r="N7" s="8">
        <f>IF(AND($E7&lt;=N$5+6,$F7&gt;=N$5),"■","")</f>
        <v/>
      </c>
      <c r="O7" s="8">
        <f>IF(AND($E7&lt;=O$5+6,$F7&gt;=O$5),"■","")</f>
        <v/>
      </c>
      <c r="P7" s="8">
        <f>IF(AND($E7&lt;=P$5+6,$F7&gt;=P$5),"■","")</f>
        <v/>
      </c>
      <c r="Q7" s="8">
        <f>IF(AND($E7&lt;=Q$5+6,$F7&gt;=Q$5),"■","")</f>
        <v/>
      </c>
      <c r="R7" s="8">
        <f>IF(AND($E7&lt;=R$5+6,$F7&gt;=R$5),"■","")</f>
        <v/>
      </c>
      <c r="S7" s="8">
        <f>IF(AND($E7&lt;=S$5+6,$F7&gt;=S$5),"■","")</f>
        <v/>
      </c>
      <c r="T7" s="8">
        <f>IF(AND($E7&lt;=T$5+6,$F7&gt;=T$5),"■","")</f>
        <v/>
      </c>
      <c r="U7" s="8">
        <f>IF(AND($E7&lt;=U$5+6,$F7&gt;=U$5),"■","")</f>
        <v/>
      </c>
      <c r="V7" s="8">
        <f>IF(AND($E7&lt;=V$5+6,$F7&gt;=V$5),"■","")</f>
        <v/>
      </c>
    </row>
    <row r="8" ht="44" customHeight="1">
      <c r="A8" s="5" t="inlineStr">
        <is>
          <t>开发与集成</t>
        </is>
      </c>
      <c r="B8" s="5" t="inlineStr">
        <is>
          <t>W5–8</t>
        </is>
      </c>
      <c r="C8" s="5" t="inlineStr">
        <is>
          <t>TR2/3</t>
        </is>
      </c>
      <c r="D8" s="6" t="n">
        <v>0.6</v>
      </c>
      <c r="E8" s="7" t="n">
        <v>46342</v>
      </c>
      <c r="F8" s="7" t="n">
        <v>46369</v>
      </c>
      <c r="G8" s="5">
        <f>F8-E8+1</f>
        <v/>
      </c>
      <c r="H8" s="5" t="inlineStr">
        <is>
          <t>数据/双端/画像/影子模型</t>
        </is>
      </c>
      <c r="I8" s="8">
        <f>IF(AND($E8&lt;=I$5+6,$F8&gt;=I$5),"■","")</f>
        <v/>
      </c>
      <c r="J8" s="8">
        <f>IF(AND($E8&lt;=J$5+6,$F8&gt;=J$5),"■","")</f>
        <v/>
      </c>
      <c r="K8" s="8">
        <f>IF(AND($E8&lt;=K$5+6,$F8&gt;=K$5),"■","")</f>
        <v/>
      </c>
      <c r="L8" s="8">
        <f>IF(AND($E8&lt;=L$5+6,$F8&gt;=L$5),"■","")</f>
        <v/>
      </c>
      <c r="M8" s="8">
        <f>IF(AND($E8&lt;=M$5+6,$F8&gt;=M$5),"■","")</f>
        <v/>
      </c>
      <c r="N8" s="8">
        <f>IF(AND($E8&lt;=N$5+6,$F8&gt;=N$5),"■","")</f>
        <v/>
      </c>
      <c r="O8" s="8">
        <f>IF(AND($E8&lt;=O$5+6,$F8&gt;=O$5),"■","")</f>
        <v/>
      </c>
      <c r="P8" s="8">
        <f>IF(AND($E8&lt;=P$5+6,$F8&gt;=P$5),"■","")</f>
        <v/>
      </c>
      <c r="Q8" s="8">
        <f>IF(AND($E8&lt;=Q$5+6,$F8&gt;=Q$5),"■","")</f>
        <v/>
      </c>
      <c r="R8" s="8">
        <f>IF(AND($E8&lt;=R$5+6,$F8&gt;=R$5),"■","")</f>
        <v/>
      </c>
      <c r="S8" s="8">
        <f>IF(AND($E8&lt;=S$5+6,$F8&gt;=S$5),"■","")</f>
        <v/>
      </c>
      <c r="T8" s="8">
        <f>IF(AND($E8&lt;=T$5+6,$F8&gt;=T$5),"■","")</f>
        <v/>
      </c>
      <c r="U8" s="8">
        <f>IF(AND($E8&lt;=U$5+6,$F8&gt;=U$5),"■","")</f>
        <v/>
      </c>
      <c r="V8" s="8">
        <f>IF(AND($E8&lt;=V$5+6,$F8&gt;=V$5),"■","")</f>
        <v/>
      </c>
    </row>
    <row r="9" ht="44" customHeight="1">
      <c r="A9" s="5" t="inlineStr">
        <is>
          <t>验证与试点准入</t>
        </is>
      </c>
      <c r="B9" s="5" t="inlineStr">
        <is>
          <t>W9–10</t>
        </is>
      </c>
      <c r="C9" s="5" t="inlineStr">
        <is>
          <t>DCP3</t>
        </is>
      </c>
      <c r="D9" s="6" t="n">
        <v>0.8</v>
      </c>
      <c r="E9" s="7" t="n">
        <v>46370</v>
      </c>
      <c r="F9" s="7" t="n">
        <v>46383</v>
      </c>
      <c r="G9" s="5">
        <f>F9-E9+1</f>
        <v/>
      </c>
      <c r="H9" s="5" t="inlineStr">
        <is>
          <t>质量/临床/适用准入</t>
        </is>
      </c>
      <c r="I9" s="8">
        <f>IF(AND($E9&lt;=I$5+6,$F9&gt;=I$5),"■","")</f>
        <v/>
      </c>
      <c r="J9" s="8">
        <f>IF(AND($E9&lt;=J$5+6,$F9&gt;=J$5),"■","")</f>
        <v/>
      </c>
      <c r="K9" s="8">
        <f>IF(AND($E9&lt;=K$5+6,$F9&gt;=K$5),"■","")</f>
        <v/>
      </c>
      <c r="L9" s="8">
        <f>IF(AND($E9&lt;=L$5+6,$F9&gt;=L$5),"■","")</f>
        <v/>
      </c>
      <c r="M9" s="8">
        <f>IF(AND($E9&lt;=M$5+6,$F9&gt;=M$5),"■","")</f>
        <v/>
      </c>
      <c r="N9" s="8">
        <f>IF(AND($E9&lt;=N$5+6,$F9&gt;=N$5),"■","")</f>
        <v/>
      </c>
      <c r="O9" s="8">
        <f>IF(AND($E9&lt;=O$5+6,$F9&gt;=O$5),"■","")</f>
        <v/>
      </c>
      <c r="P9" s="8">
        <f>IF(AND($E9&lt;=P$5+6,$F9&gt;=P$5),"■","")</f>
        <v/>
      </c>
      <c r="Q9" s="8">
        <f>IF(AND($E9&lt;=Q$5+6,$F9&gt;=Q$5),"■","")</f>
        <v/>
      </c>
      <c r="R9" s="8">
        <f>IF(AND($E9&lt;=R$5+6,$F9&gt;=R$5),"■","")</f>
        <v/>
      </c>
      <c r="S9" s="8">
        <f>IF(AND($E9&lt;=S$5+6,$F9&gt;=S$5),"■","")</f>
        <v/>
      </c>
      <c r="T9" s="8">
        <f>IF(AND($E9&lt;=T$5+6,$F9&gt;=T$5),"■","")</f>
        <v/>
      </c>
      <c r="U9" s="8">
        <f>IF(AND($E9&lt;=U$5+6,$F9&gt;=U$5),"■","")</f>
        <v/>
      </c>
      <c r="V9" s="8">
        <f>IF(AND($E9&lt;=V$5+6,$F9&gt;=V$5),"■","")</f>
        <v/>
      </c>
    </row>
    <row r="10" ht="44" customHeight="1">
      <c r="A10" s="5" t="inlineStr">
        <is>
          <t>首批试点启动</t>
        </is>
      </c>
      <c r="B10" s="5" t="inlineStr">
        <is>
          <t>W11–12</t>
        </is>
      </c>
      <c r="C10" s="5" t="inlineStr">
        <is>
          <t>试点启动截止</t>
        </is>
      </c>
      <c r="D10" s="6" t="n">
        <v>0.9</v>
      </c>
      <c r="E10" s="7" t="n">
        <v>46384</v>
      </c>
      <c r="F10" s="7" t="n">
        <v>46397</v>
      </c>
      <c r="G10" s="5">
        <f>F10-E10+1</f>
        <v/>
      </c>
      <c r="H10" s="5" t="inlineStr">
        <is>
          <t>首批入组与服务验证</t>
        </is>
      </c>
      <c r="I10" s="8">
        <f>IF(AND($E10&lt;=I$5+6,$F10&gt;=I$5),"■","")</f>
        <v/>
      </c>
      <c r="J10" s="8">
        <f>IF(AND($E10&lt;=J$5+6,$F10&gt;=J$5),"■","")</f>
        <v/>
      </c>
      <c r="K10" s="8">
        <f>IF(AND($E10&lt;=K$5+6,$F10&gt;=K$5),"■","")</f>
        <v/>
      </c>
      <c r="L10" s="8">
        <f>IF(AND($E10&lt;=L$5+6,$F10&gt;=L$5),"■","")</f>
        <v/>
      </c>
      <c r="M10" s="8">
        <f>IF(AND($E10&lt;=M$5+6,$F10&gt;=M$5),"■","")</f>
        <v/>
      </c>
      <c r="N10" s="8">
        <f>IF(AND($E10&lt;=N$5+6,$F10&gt;=N$5),"■","")</f>
        <v/>
      </c>
      <c r="O10" s="8">
        <f>IF(AND($E10&lt;=O$5+6,$F10&gt;=O$5),"■","")</f>
        <v/>
      </c>
      <c r="P10" s="8">
        <f>IF(AND($E10&lt;=P$5+6,$F10&gt;=P$5),"■","")</f>
        <v/>
      </c>
      <c r="Q10" s="8">
        <f>IF(AND($E10&lt;=Q$5+6,$F10&gt;=Q$5),"■","")</f>
        <v/>
      </c>
      <c r="R10" s="8">
        <f>IF(AND($E10&lt;=R$5+6,$F10&gt;=R$5),"■","")</f>
        <v/>
      </c>
      <c r="S10" s="8">
        <f>IF(AND($E10&lt;=S$5+6,$F10&gt;=S$5),"■","")</f>
        <v/>
      </c>
      <c r="T10" s="8">
        <f>IF(AND($E10&lt;=T$5+6,$F10&gt;=T$5),"■","")</f>
        <v/>
      </c>
      <c r="U10" s="8">
        <f>IF(AND($E10&lt;=U$5+6,$F10&gt;=U$5),"■","")</f>
        <v/>
      </c>
      <c r="V10" s="8">
        <f>IF(AND($E10&lt;=V$5+6,$F10&gt;=V$5),"■","")</f>
        <v/>
      </c>
    </row>
    <row r="11" ht="44" customHeight="1">
      <c r="A11" s="5" t="inlineStr">
        <is>
          <t>首轮观察与复盘</t>
        </is>
      </c>
      <c r="B11" s="5" t="inlineStr">
        <is>
          <t>W13–14</t>
        </is>
      </c>
      <c r="C11" s="5" t="inlineStr">
        <is>
          <t>DCP4</t>
        </is>
      </c>
      <c r="D11" s="6" t="n">
        <v>1</v>
      </c>
      <c r="E11" s="7" t="n">
        <v>46398</v>
      </c>
      <c r="F11" s="7" t="n">
        <v>46411</v>
      </c>
      <c r="G11" s="5">
        <f>F11-E11+1</f>
        <v/>
      </c>
      <c r="H11" s="5" t="inlineStr">
        <is>
          <t>首轮观察/问题关闭/扩展决策</t>
        </is>
      </c>
      <c r="I11" s="8">
        <f>IF(AND($E11&lt;=I$5+6,$F11&gt;=I$5),"■","")</f>
        <v/>
      </c>
      <c r="J11" s="8">
        <f>IF(AND($E11&lt;=J$5+6,$F11&gt;=J$5),"■","")</f>
        <v/>
      </c>
      <c r="K11" s="8">
        <f>IF(AND($E11&lt;=K$5+6,$F11&gt;=K$5),"■","")</f>
        <v/>
      </c>
      <c r="L11" s="8">
        <f>IF(AND($E11&lt;=L$5+6,$F11&gt;=L$5),"■","")</f>
        <v/>
      </c>
      <c r="M11" s="8">
        <f>IF(AND($E11&lt;=M$5+6,$F11&gt;=M$5),"■","")</f>
        <v/>
      </c>
      <c r="N11" s="8">
        <f>IF(AND($E11&lt;=N$5+6,$F11&gt;=N$5),"■","")</f>
        <v/>
      </c>
      <c r="O11" s="8">
        <f>IF(AND($E11&lt;=O$5+6,$F11&gt;=O$5),"■","")</f>
        <v/>
      </c>
      <c r="P11" s="8">
        <f>IF(AND($E11&lt;=P$5+6,$F11&gt;=P$5),"■","")</f>
        <v/>
      </c>
      <c r="Q11" s="8">
        <f>IF(AND($E11&lt;=Q$5+6,$F11&gt;=Q$5),"■","")</f>
        <v/>
      </c>
      <c r="R11" s="8">
        <f>IF(AND($E11&lt;=R$5+6,$F11&gt;=R$5),"■","")</f>
        <v/>
      </c>
      <c r="S11" s="8">
        <f>IF(AND($E11&lt;=S$5+6,$F11&gt;=S$5),"■","")</f>
        <v/>
      </c>
      <c r="T11" s="8">
        <f>IF(AND($E11&lt;=T$5+6,$F11&gt;=T$5),"■","")</f>
        <v/>
      </c>
      <c r="U11" s="8">
        <f>IF(AND($E11&lt;=U$5+6,$F11&gt;=U$5),"■","")</f>
        <v/>
      </c>
      <c r="V11" s="8">
        <f>IF(AND($E11&lt;=V$5+6,$F11&gt;=V$5),"■","")</f>
        <v/>
      </c>
    </row>
    <row r="14">
      <c r="A14" t="inlineStr">
        <is>
          <t>每格代表一周；与任务日期有交集则填色。精确起止日期见E/F列；PNG/PDF按天定位。</t>
        </is>
      </c>
    </row>
    <row r="15">
      <c r="A15" t="inlineStr">
        <is>
          <t>所有阶段均受资源、接口、数据及适用准入约束；计划100%仅指首期试点范围。</t>
        </is>
      </c>
    </row>
  </sheetData>
  <mergeCells count="4">
    <mergeCell ref="A2:V2"/>
    <mergeCell ref="A15:V15"/>
    <mergeCell ref="A1:V1"/>
    <mergeCell ref="A14:V14"/>
  </mergeCells>
  <conditionalFormatting sqref="I6:V11">
    <cfRule type="expression" priority="1" dxfId="0">
      <formula>AND($E6&lt;=I$5+6,$F6&gt;=I$5)</formula>
    </cfRule>
  </conditionalFormatting>
  <printOptions horizontalCentered="1"/>
  <pageMargins left="0.75" right="0.75" top="1" bottom="1" header="0.5" footer="0.5"/>
  <pageSetup orientation="landscape" paperSize="8" fitToHeight="1" fitToWidth="1"/>
  <headerFooter>
    <oddHeader/>
    <oddFooter>&amp;CAI＋代谢管理 | 条件性计划 | 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showGridLines="0" workbookViewId="0">
      <pane xSplit="12" ySplit="5" topLeftCell="M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3" customWidth="1" min="3" max="3"/>
    <col width="26" customWidth="1" min="4" max="4"/>
    <col width="14" customWidth="1" min="5" max="5"/>
    <col width="14" customWidth="1" min="6" max="6"/>
    <col width="8" customWidth="1" min="7" max="7"/>
    <col width="9" customWidth="1" min="8" max="8"/>
    <col width="13" customWidth="1" min="9" max="9"/>
    <col width="16" customWidth="1" min="10" max="10"/>
    <col width="30" customWidth="1" min="11" max="11"/>
    <col width="65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32" customHeight="1">
      <c r="A1" s="1" t="inlineStr">
        <is>
          <t>AI＋代谢管理｜20项任务甘特图</t>
        </is>
      </c>
    </row>
    <row r="2" ht="32" customHeight="1">
      <c r="A2" s="2" t="inlineStr">
        <is>
          <t>日期直接来自已确认WBS；责任人待具名。蓝色日期列可编辑；成熟度须有验收证据，当前均为0。</t>
        </is>
      </c>
    </row>
    <row r="4">
      <c r="M4" t="inlineStr">
        <is>
          <t>W1</t>
        </is>
      </c>
      <c r="N4" t="inlineStr">
        <is>
          <t>W2</t>
        </is>
      </c>
      <c r="O4" t="inlineStr">
        <is>
          <t>W3</t>
        </is>
      </c>
      <c r="P4" t="inlineStr">
        <is>
          <t>W4</t>
        </is>
      </c>
      <c r="Q4" t="inlineStr">
        <is>
          <t>W5</t>
        </is>
      </c>
      <c r="R4" t="inlineStr">
        <is>
          <t>W6</t>
        </is>
      </c>
      <c r="S4" t="inlineStr">
        <is>
          <t>W7</t>
        </is>
      </c>
      <c r="T4" t="inlineStr">
        <is>
          <t>W8</t>
        </is>
      </c>
      <c r="U4" t="inlineStr">
        <is>
          <t>W9</t>
        </is>
      </c>
      <c r="V4" t="inlineStr">
        <is>
          <t>W10</t>
        </is>
      </c>
      <c r="W4" t="inlineStr">
        <is>
          <t>W11</t>
        </is>
      </c>
      <c r="X4" t="inlineStr">
        <is>
          <t>W12</t>
        </is>
      </c>
      <c r="Y4" t="inlineStr">
        <is>
          <t>W13</t>
        </is>
      </c>
      <c r="Z4" t="inlineStr">
        <is>
          <t>W14</t>
        </is>
      </c>
    </row>
    <row r="5" ht="31" customHeight="1">
      <c r="A5" s="3" t="inlineStr">
        <is>
          <t>编号</t>
        </is>
      </c>
      <c r="B5" s="3" t="inlineStr">
        <is>
          <t>工作包</t>
        </is>
      </c>
      <c r="C5" s="3" t="inlineStr">
        <is>
          <t>交付物</t>
        </is>
      </c>
      <c r="D5" s="3" t="inlineStr">
        <is>
          <t>负责角色（待具名）</t>
        </is>
      </c>
      <c r="E5" s="3" t="inlineStr">
        <is>
          <t>计划开始</t>
        </is>
      </c>
      <c r="F5" s="3" t="inlineStr">
        <is>
          <t>计划完成</t>
        </is>
      </c>
      <c r="G5" s="3" t="inlineStr">
        <is>
          <t>天数</t>
        </is>
      </c>
      <c r="H5" s="3" t="inlineStr">
        <is>
          <t>权重</t>
        </is>
      </c>
      <c r="I5" s="3" t="inlineStr">
        <is>
          <t>证据成熟度</t>
        </is>
      </c>
      <c r="J5" s="3" t="inlineStr">
        <is>
          <t>实际完成贡献</t>
        </is>
      </c>
      <c r="K5" s="3" t="inlineStr">
        <is>
          <t>状态</t>
        </is>
      </c>
      <c r="L5" s="3" t="inlineStr">
        <is>
          <t>验收证据</t>
        </is>
      </c>
      <c r="M5" s="4" t="n">
        <v>46314</v>
      </c>
      <c r="N5" s="4" t="n">
        <v>46321</v>
      </c>
      <c r="O5" s="4" t="n">
        <v>46328</v>
      </c>
      <c r="P5" s="4" t="n">
        <v>46335</v>
      </c>
      <c r="Q5" s="4" t="n">
        <v>46342</v>
      </c>
      <c r="R5" s="4" t="n">
        <v>46349</v>
      </c>
      <c r="S5" s="4" t="n">
        <v>46356</v>
      </c>
      <c r="T5" s="4" t="n">
        <v>46363</v>
      </c>
      <c r="U5" s="4" t="n">
        <v>46370</v>
      </c>
      <c r="V5" s="4" t="n">
        <v>46377</v>
      </c>
      <c r="W5" s="4" t="n">
        <v>46384</v>
      </c>
      <c r="X5" s="4" t="n">
        <v>46391</v>
      </c>
      <c r="Y5" s="4" t="n">
        <v>46398</v>
      </c>
      <c r="Z5" s="4" t="n">
        <v>46405</v>
      </c>
    </row>
    <row r="6" ht="48" customHeight="1">
      <c r="A6" s="5" t="inlineStr">
        <is>
          <t>C01</t>
        </is>
      </c>
      <c r="B6" s="5" t="inlineStr">
        <is>
          <t>需求与立项</t>
        </is>
      </c>
      <c r="C6" s="5" t="inlineStr">
        <is>
          <t>首期人群/预期用途/用户路径</t>
        </is>
      </c>
      <c r="D6" s="5" t="inlineStr">
        <is>
          <t>产品＋临床</t>
        </is>
      </c>
      <c r="E6" s="7" t="n">
        <v>46314</v>
      </c>
      <c r="F6" s="7" t="n">
        <v>46327</v>
      </c>
      <c r="G6" s="5">
        <f>F6-E6+1</f>
        <v/>
      </c>
      <c r="H6" s="6" t="n">
        <v>0.04</v>
      </c>
      <c r="I6" s="6" t="n">
        <v>0</v>
      </c>
      <c r="J6" s="6">
        <f>H6*I6</f>
        <v/>
      </c>
      <c r="K6" s="5" t="inlineStr">
        <is>
          <t>未启动（资源/接入/审批依赖待落实）</t>
        </is>
      </c>
      <c r="L6" s="5" t="inlineStr">
        <is>
          <t>人群、功能边界及PRD范围获评审</t>
        </is>
      </c>
      <c r="M6" s="8">
        <f>IF(AND($E6&lt;=M$5+6,$F6&gt;=M$5),"■","")</f>
        <v/>
      </c>
      <c r="N6" s="8">
        <f>IF(AND($E6&lt;=N$5+6,$F6&gt;=N$5),"■","")</f>
        <v/>
      </c>
      <c r="O6" s="8">
        <f>IF(AND($E6&lt;=O$5+6,$F6&gt;=O$5),"■","")</f>
        <v/>
      </c>
      <c r="P6" s="8">
        <f>IF(AND($E6&lt;=P$5+6,$F6&gt;=P$5),"■","")</f>
        <v/>
      </c>
      <c r="Q6" s="8">
        <f>IF(AND($E6&lt;=Q$5+6,$F6&gt;=Q$5),"■","")</f>
        <v/>
      </c>
      <c r="R6" s="8">
        <f>IF(AND($E6&lt;=R$5+6,$F6&gt;=R$5),"■","")</f>
        <v/>
      </c>
      <c r="S6" s="8">
        <f>IF(AND($E6&lt;=S$5+6,$F6&gt;=S$5),"■","")</f>
        <v/>
      </c>
      <c r="T6" s="8">
        <f>IF(AND($E6&lt;=T$5+6,$F6&gt;=T$5),"■","")</f>
        <v/>
      </c>
      <c r="U6" s="8">
        <f>IF(AND($E6&lt;=U$5+6,$F6&gt;=U$5),"■","")</f>
        <v/>
      </c>
      <c r="V6" s="8">
        <f>IF(AND($E6&lt;=V$5+6,$F6&gt;=V$5),"■","")</f>
        <v/>
      </c>
      <c r="W6" s="8">
        <f>IF(AND($E6&lt;=W$5+6,$F6&gt;=W$5),"■","")</f>
        <v/>
      </c>
      <c r="X6" s="8">
        <f>IF(AND($E6&lt;=X$5+6,$F6&gt;=X$5),"■","")</f>
        <v/>
      </c>
      <c r="Y6" s="8">
        <f>IF(AND($E6&lt;=Y$5+6,$F6&gt;=Y$5),"■","")</f>
        <v/>
      </c>
      <c r="Z6" s="8">
        <f>IF(AND($E6&lt;=Z$5+6,$F6&gt;=Z$5),"■","")</f>
        <v/>
      </c>
    </row>
    <row r="7" ht="48" customHeight="1">
      <c r="A7" s="5" t="inlineStr">
        <is>
          <t>C02</t>
        </is>
      </c>
      <c r="B7" s="5" t="inlineStr">
        <is>
          <t>需求与立项</t>
        </is>
      </c>
      <c r="C7" s="5" t="inlineStr">
        <is>
          <t>机构/团队/预算/试点合作</t>
        </is>
      </c>
      <c r="D7" s="5" t="inlineStr">
        <is>
          <t>PDT负责人</t>
        </is>
      </c>
      <c r="E7" s="7" t="n">
        <v>46314</v>
      </c>
      <c r="F7" s="7" t="n">
        <v>46327</v>
      </c>
      <c r="G7" s="5">
        <f>F7-E7+1</f>
        <v/>
      </c>
      <c r="H7" s="6" t="n">
        <v>0.03</v>
      </c>
      <c r="I7" s="6" t="n">
        <v>0</v>
      </c>
      <c r="J7" s="6">
        <f>H7*I7</f>
        <v/>
      </c>
      <c r="K7" s="5" t="inlineStr">
        <is>
          <t>未启动（资源/接入/审批依赖待落实）</t>
        </is>
      </c>
      <c r="L7" s="5" t="inlineStr">
        <is>
          <t>具名负责人、资源承诺、试点合作可行</t>
        </is>
      </c>
      <c r="M7" s="8">
        <f>IF(AND($E7&lt;=M$5+6,$F7&gt;=M$5),"■","")</f>
        <v/>
      </c>
      <c r="N7" s="8">
        <f>IF(AND($E7&lt;=N$5+6,$F7&gt;=N$5),"■","")</f>
        <v/>
      </c>
      <c r="O7" s="8">
        <f>IF(AND($E7&lt;=O$5+6,$F7&gt;=O$5),"■","")</f>
        <v/>
      </c>
      <c r="P7" s="8">
        <f>IF(AND($E7&lt;=P$5+6,$F7&gt;=P$5),"■","")</f>
        <v/>
      </c>
      <c r="Q7" s="8">
        <f>IF(AND($E7&lt;=Q$5+6,$F7&gt;=Q$5),"■","")</f>
        <v/>
      </c>
      <c r="R7" s="8">
        <f>IF(AND($E7&lt;=R$5+6,$F7&gt;=R$5),"■","")</f>
        <v/>
      </c>
      <c r="S7" s="8">
        <f>IF(AND($E7&lt;=S$5+6,$F7&gt;=S$5),"■","")</f>
        <v/>
      </c>
      <c r="T7" s="8">
        <f>IF(AND($E7&lt;=T$5+6,$F7&gt;=T$5),"■","")</f>
        <v/>
      </c>
      <c r="U7" s="8">
        <f>IF(AND($E7&lt;=U$5+6,$F7&gt;=U$5),"■","")</f>
        <v/>
      </c>
      <c r="V7" s="8">
        <f>IF(AND($E7&lt;=V$5+6,$F7&gt;=V$5),"■","")</f>
        <v/>
      </c>
      <c r="W7" s="8">
        <f>IF(AND($E7&lt;=W$5+6,$F7&gt;=W$5),"■","")</f>
        <v/>
      </c>
      <c r="X7" s="8">
        <f>IF(AND($E7&lt;=X$5+6,$F7&gt;=X$5),"■","")</f>
        <v/>
      </c>
      <c r="Y7" s="8">
        <f>IF(AND($E7&lt;=Y$5+6,$F7&gt;=Y$5),"■","")</f>
        <v/>
      </c>
      <c r="Z7" s="8">
        <f>IF(AND($E7&lt;=Z$5+6,$F7&gt;=Z$5),"■","")</f>
        <v/>
      </c>
    </row>
    <row r="8" ht="48" customHeight="1">
      <c r="A8" s="5" t="inlineStr">
        <is>
          <t>C03</t>
        </is>
      </c>
      <c r="B8" s="5" t="inlineStr">
        <is>
          <t>需求与立项</t>
        </is>
      </c>
      <c r="C8" s="5" t="inlineStr">
        <is>
          <t>CGM与训练数据路径确认</t>
        </is>
      </c>
      <c r="D8" s="5" t="inlineStr">
        <is>
          <t>数据负责人</t>
        </is>
      </c>
      <c r="E8" s="7" t="n">
        <v>46314</v>
      </c>
      <c r="F8" s="7" t="n">
        <v>46327</v>
      </c>
      <c r="G8" s="5">
        <f>F8-E8+1</f>
        <v/>
      </c>
      <c r="H8" s="6" t="n">
        <v>0.03</v>
      </c>
      <c r="I8" s="6" t="n">
        <v>0</v>
      </c>
      <c r="J8" s="6">
        <f>H8*I8</f>
        <v/>
      </c>
      <c r="K8" s="5" t="inlineStr">
        <is>
          <t>未启动（资源/接入/审批依赖待落实）</t>
        </is>
      </c>
      <c r="L8" s="5" t="inlineStr">
        <is>
          <t>接入路径、交付日期与用途许可明确</t>
        </is>
      </c>
      <c r="M8" s="8">
        <f>IF(AND($E8&lt;=M$5+6,$F8&gt;=M$5),"■","")</f>
        <v/>
      </c>
      <c r="N8" s="8">
        <f>IF(AND($E8&lt;=N$5+6,$F8&gt;=N$5),"■","")</f>
        <v/>
      </c>
      <c r="O8" s="8">
        <f>IF(AND($E8&lt;=O$5+6,$F8&gt;=O$5),"■","")</f>
        <v/>
      </c>
      <c r="P8" s="8">
        <f>IF(AND($E8&lt;=P$5+6,$F8&gt;=P$5),"■","")</f>
        <v/>
      </c>
      <c r="Q8" s="8">
        <f>IF(AND($E8&lt;=Q$5+6,$F8&gt;=Q$5),"■","")</f>
        <v/>
      </c>
      <c r="R8" s="8">
        <f>IF(AND($E8&lt;=R$5+6,$F8&gt;=R$5),"■","")</f>
        <v/>
      </c>
      <c r="S8" s="8">
        <f>IF(AND($E8&lt;=S$5+6,$F8&gt;=S$5),"■","")</f>
        <v/>
      </c>
      <c r="T8" s="8">
        <f>IF(AND($E8&lt;=T$5+6,$F8&gt;=T$5),"■","")</f>
        <v/>
      </c>
      <c r="U8" s="8">
        <f>IF(AND($E8&lt;=U$5+6,$F8&gt;=U$5),"■","")</f>
        <v/>
      </c>
      <c r="V8" s="8">
        <f>IF(AND($E8&lt;=V$5+6,$F8&gt;=V$5),"■","")</f>
        <v/>
      </c>
      <c r="W8" s="8">
        <f>IF(AND($E8&lt;=W$5+6,$F8&gt;=W$5),"■","")</f>
        <v/>
      </c>
      <c r="X8" s="8">
        <f>IF(AND($E8&lt;=X$5+6,$F8&gt;=X$5),"■","")</f>
        <v/>
      </c>
      <c r="Y8" s="8">
        <f>IF(AND($E8&lt;=Y$5+6,$F8&gt;=Y$5),"■","")</f>
        <v/>
      </c>
      <c r="Z8" s="8">
        <f>IF(AND($E8&lt;=Z$5+6,$F8&gt;=Z$5),"■","")</f>
        <v/>
      </c>
    </row>
    <row r="9" ht="48" customHeight="1">
      <c r="A9" s="5" t="inlineStr">
        <is>
          <t>P01</t>
        </is>
      </c>
      <c r="B9" s="5" t="inlineStr">
        <is>
          <t>架构与治理</t>
        </is>
      </c>
      <c r="C9" s="5" t="inlineStr">
        <is>
          <t>架构/数据契约/接入PoC</t>
        </is>
      </c>
      <c r="D9" s="5" t="inlineStr">
        <is>
          <t>技术负责人</t>
        </is>
      </c>
      <c r="E9" s="7" t="n">
        <v>46328</v>
      </c>
      <c r="F9" s="7" t="n">
        <v>46341</v>
      </c>
      <c r="G9" s="5">
        <f>F9-E9+1</f>
        <v/>
      </c>
      <c r="H9" s="6" t="n">
        <v>0.05</v>
      </c>
      <c r="I9" s="6" t="n">
        <v>0</v>
      </c>
      <c r="J9" s="6">
        <f>H9*I9</f>
        <v/>
      </c>
      <c r="K9" s="5" t="inlineStr">
        <is>
          <t>未启动（资源/接入/审批依赖待落实）</t>
        </is>
      </c>
      <c r="L9" s="5" t="inlineStr">
        <is>
          <t>真实授权样本PoC通过，契约与适配器冻结</t>
        </is>
      </c>
      <c r="M9" s="8">
        <f>IF(AND($E9&lt;=M$5+6,$F9&gt;=M$5),"■","")</f>
        <v/>
      </c>
      <c r="N9" s="8">
        <f>IF(AND($E9&lt;=N$5+6,$F9&gt;=N$5),"■","")</f>
        <v/>
      </c>
      <c r="O9" s="8">
        <f>IF(AND($E9&lt;=O$5+6,$F9&gt;=O$5),"■","")</f>
        <v/>
      </c>
      <c r="P9" s="8">
        <f>IF(AND($E9&lt;=P$5+6,$F9&gt;=P$5),"■","")</f>
        <v/>
      </c>
      <c r="Q9" s="8">
        <f>IF(AND($E9&lt;=Q$5+6,$F9&gt;=Q$5),"■","")</f>
        <v/>
      </c>
      <c r="R9" s="8">
        <f>IF(AND($E9&lt;=R$5+6,$F9&gt;=R$5),"■","")</f>
        <v/>
      </c>
      <c r="S9" s="8">
        <f>IF(AND($E9&lt;=S$5+6,$F9&gt;=S$5),"■","")</f>
        <v/>
      </c>
      <c r="T9" s="8">
        <f>IF(AND($E9&lt;=T$5+6,$F9&gt;=T$5),"■","")</f>
        <v/>
      </c>
      <c r="U9" s="8">
        <f>IF(AND($E9&lt;=U$5+6,$F9&gt;=U$5),"■","")</f>
        <v/>
      </c>
      <c r="V9" s="8">
        <f>IF(AND($E9&lt;=V$5+6,$F9&gt;=V$5),"■","")</f>
        <v/>
      </c>
      <c r="W9" s="8">
        <f>IF(AND($E9&lt;=W$5+6,$F9&gt;=W$5),"■","")</f>
        <v/>
      </c>
      <c r="X9" s="8">
        <f>IF(AND($E9&lt;=X$5+6,$F9&gt;=X$5),"■","")</f>
        <v/>
      </c>
      <c r="Y9" s="8">
        <f>IF(AND($E9&lt;=Y$5+6,$F9&gt;=Y$5),"■","")</f>
        <v/>
      </c>
      <c r="Z9" s="8">
        <f>IF(AND($E9&lt;=Z$5+6,$F9&gt;=Z$5),"■","")</f>
        <v/>
      </c>
    </row>
    <row r="10" ht="48" customHeight="1">
      <c r="A10" s="5" t="inlineStr">
        <is>
          <t>P02</t>
        </is>
      </c>
      <c r="B10" s="5" t="inlineStr">
        <is>
          <t>架构与治理</t>
        </is>
      </c>
      <c r="C10" s="5" t="inlineStr">
        <is>
          <t>同意/权限/风险问卷/临床规则</t>
        </is>
      </c>
      <c r="D10" s="5" t="inlineStr">
        <is>
          <t>临床＋合规</t>
        </is>
      </c>
      <c r="E10" s="7" t="n">
        <v>46328</v>
      </c>
      <c r="F10" s="7" t="n">
        <v>46341</v>
      </c>
      <c r="G10" s="5">
        <f>F10-E10+1</f>
        <v/>
      </c>
      <c r="H10" s="6" t="n">
        <v>0.05</v>
      </c>
      <c r="I10" s="6" t="n">
        <v>0</v>
      </c>
      <c r="J10" s="6">
        <f>H10*I10</f>
        <v/>
      </c>
      <c r="K10" s="5" t="inlineStr">
        <is>
          <t>未启动（资源/接入/审批依赖待落实）</t>
        </is>
      </c>
      <c r="L10" s="5" t="inlineStr">
        <is>
          <t>治理和风险规则审定，限制模式明确</t>
        </is>
      </c>
      <c r="M10" s="8">
        <f>IF(AND($E10&lt;=M$5+6,$F10&gt;=M$5),"■","")</f>
        <v/>
      </c>
      <c r="N10" s="8">
        <f>IF(AND($E10&lt;=N$5+6,$F10&gt;=N$5),"■","")</f>
        <v/>
      </c>
      <c r="O10" s="8">
        <f>IF(AND($E10&lt;=O$5+6,$F10&gt;=O$5),"■","")</f>
        <v/>
      </c>
      <c r="P10" s="8">
        <f>IF(AND($E10&lt;=P$5+6,$F10&gt;=P$5),"■","")</f>
        <v/>
      </c>
      <c r="Q10" s="8">
        <f>IF(AND($E10&lt;=Q$5+6,$F10&gt;=Q$5),"■","")</f>
        <v/>
      </c>
      <c r="R10" s="8">
        <f>IF(AND($E10&lt;=R$5+6,$F10&gt;=R$5),"■","")</f>
        <v/>
      </c>
      <c r="S10" s="8">
        <f>IF(AND($E10&lt;=S$5+6,$F10&gt;=S$5),"■","")</f>
        <v/>
      </c>
      <c r="T10" s="8">
        <f>IF(AND($E10&lt;=T$5+6,$F10&gt;=T$5),"■","")</f>
        <v/>
      </c>
      <c r="U10" s="8">
        <f>IF(AND($E10&lt;=U$5+6,$F10&gt;=U$5),"■","")</f>
        <v/>
      </c>
      <c r="V10" s="8">
        <f>IF(AND($E10&lt;=V$5+6,$F10&gt;=V$5),"■","")</f>
        <v/>
      </c>
      <c r="W10" s="8">
        <f>IF(AND($E10&lt;=W$5+6,$F10&gt;=W$5),"■","")</f>
        <v/>
      </c>
      <c r="X10" s="8">
        <f>IF(AND($E10&lt;=X$5+6,$F10&gt;=X$5),"■","")</f>
        <v/>
      </c>
      <c r="Y10" s="8">
        <f>IF(AND($E10&lt;=Y$5+6,$F10&gt;=Y$5),"■","")</f>
        <v/>
      </c>
      <c r="Z10" s="8">
        <f>IF(AND($E10&lt;=Z$5+6,$F10&gt;=Z$5),"■","")</f>
        <v/>
      </c>
    </row>
    <row r="11" ht="48" customHeight="1">
      <c r="A11" s="5" t="inlineStr">
        <is>
          <t>P03</t>
        </is>
      </c>
      <c r="B11" s="5" t="inlineStr">
        <is>
          <t>架构与治理</t>
        </is>
      </c>
      <c r="C11" s="5" t="inlineStr">
        <is>
          <t>验收/模型标签/试点准入方案</t>
        </is>
      </c>
      <c r="D11" s="5" t="inlineStr">
        <is>
          <t>QA＋算法＋临床</t>
        </is>
      </c>
      <c r="E11" s="7" t="n">
        <v>46328</v>
      </c>
      <c r="F11" s="7" t="n">
        <v>46341</v>
      </c>
      <c r="G11" s="5">
        <f>F11-E11+1</f>
        <v/>
      </c>
      <c r="H11" s="6" t="n">
        <v>0.05</v>
      </c>
      <c r="I11" s="6" t="n">
        <v>0</v>
      </c>
      <c r="J11" s="6">
        <f>H11*I11</f>
        <v/>
      </c>
      <c r="K11" s="5" t="inlineStr">
        <is>
          <t>未启动（资源/接入/审批依赖待落实）</t>
        </is>
      </c>
      <c r="L11" s="5" t="inlineStr">
        <is>
          <t>数据审计、测试切分、准入手续与门槛冻结</t>
        </is>
      </c>
      <c r="M11" s="8">
        <f>IF(AND($E11&lt;=M$5+6,$F11&gt;=M$5),"■","")</f>
        <v/>
      </c>
      <c r="N11" s="8">
        <f>IF(AND($E11&lt;=N$5+6,$F11&gt;=N$5),"■","")</f>
        <v/>
      </c>
      <c r="O11" s="8">
        <f>IF(AND($E11&lt;=O$5+6,$F11&gt;=O$5),"■","")</f>
        <v/>
      </c>
      <c r="P11" s="8">
        <f>IF(AND($E11&lt;=P$5+6,$F11&gt;=P$5),"■","")</f>
        <v/>
      </c>
      <c r="Q11" s="8">
        <f>IF(AND($E11&lt;=Q$5+6,$F11&gt;=Q$5),"■","")</f>
        <v/>
      </c>
      <c r="R11" s="8">
        <f>IF(AND($E11&lt;=R$5+6,$F11&gt;=R$5),"■","")</f>
        <v/>
      </c>
      <c r="S11" s="8">
        <f>IF(AND($E11&lt;=S$5+6,$F11&gt;=S$5),"■","")</f>
        <v/>
      </c>
      <c r="T11" s="8">
        <f>IF(AND($E11&lt;=T$5+6,$F11&gt;=T$5),"■","")</f>
        <v/>
      </c>
      <c r="U11" s="8">
        <f>IF(AND($E11&lt;=U$5+6,$F11&gt;=U$5),"■","")</f>
        <v/>
      </c>
      <c r="V11" s="8">
        <f>IF(AND($E11&lt;=V$5+6,$F11&gt;=V$5),"■","")</f>
        <v/>
      </c>
      <c r="W11" s="8">
        <f>IF(AND($E11&lt;=W$5+6,$F11&gt;=W$5),"■","")</f>
        <v/>
      </c>
      <c r="X11" s="8">
        <f>IF(AND($E11&lt;=X$5+6,$F11&gt;=X$5),"■","")</f>
        <v/>
      </c>
      <c r="Y11" s="8">
        <f>IF(AND($E11&lt;=Y$5+6,$F11&gt;=Y$5),"■","")</f>
        <v/>
      </c>
      <c r="Z11" s="8">
        <f>IF(AND($E11&lt;=Z$5+6,$F11&gt;=Z$5),"■","")</f>
        <v/>
      </c>
    </row>
    <row r="12" ht="48" customHeight="1">
      <c r="A12" s="5" t="inlineStr">
        <is>
          <t>D01</t>
        </is>
      </c>
      <c r="B12" s="5" t="inlineStr">
        <is>
          <t>数据采集</t>
        </is>
      </c>
      <c r="C12" s="5" t="inlineStr">
        <is>
          <t>CGM绑定/授权/原始落库</t>
        </is>
      </c>
      <c r="D12" s="5" t="inlineStr">
        <is>
          <t>后端</t>
        </is>
      </c>
      <c r="E12" s="7" t="n">
        <v>46342</v>
      </c>
      <c r="F12" s="7" t="n">
        <v>46355</v>
      </c>
      <c r="G12" s="5">
        <f>F12-E12+1</f>
        <v/>
      </c>
      <c r="H12" s="6" t="n">
        <v>0.05</v>
      </c>
      <c r="I12" s="6" t="n">
        <v>0</v>
      </c>
      <c r="J12" s="6">
        <f>H12*I12</f>
        <v/>
      </c>
      <c r="K12" s="5" t="inlineStr">
        <is>
          <t>未启动（资源/接入/审批依赖待落实）</t>
        </is>
      </c>
      <c r="L12" s="5" t="inlineStr">
        <is>
          <t>合法真实数据链路可运行</t>
        </is>
      </c>
      <c r="M12" s="8">
        <f>IF(AND($E12&lt;=M$5+6,$F12&gt;=M$5),"■","")</f>
        <v/>
      </c>
      <c r="N12" s="8">
        <f>IF(AND($E12&lt;=N$5+6,$F12&gt;=N$5),"■","")</f>
        <v/>
      </c>
      <c r="O12" s="8">
        <f>IF(AND($E12&lt;=O$5+6,$F12&gt;=O$5),"■","")</f>
        <v/>
      </c>
      <c r="P12" s="8">
        <f>IF(AND($E12&lt;=P$5+6,$F12&gt;=P$5),"■","")</f>
        <v/>
      </c>
      <c r="Q12" s="8">
        <f>IF(AND($E12&lt;=Q$5+6,$F12&gt;=Q$5),"■","")</f>
        <v/>
      </c>
      <c r="R12" s="8">
        <f>IF(AND($E12&lt;=R$5+6,$F12&gt;=R$5),"■","")</f>
        <v/>
      </c>
      <c r="S12" s="8">
        <f>IF(AND($E12&lt;=S$5+6,$F12&gt;=S$5),"■","")</f>
        <v/>
      </c>
      <c r="T12" s="8">
        <f>IF(AND($E12&lt;=T$5+6,$F12&gt;=T$5),"■","")</f>
        <v/>
      </c>
      <c r="U12" s="8">
        <f>IF(AND($E12&lt;=U$5+6,$F12&gt;=U$5),"■","")</f>
        <v/>
      </c>
      <c r="V12" s="8">
        <f>IF(AND($E12&lt;=V$5+6,$F12&gt;=V$5),"■","")</f>
        <v/>
      </c>
      <c r="W12" s="8">
        <f>IF(AND($E12&lt;=W$5+6,$F12&gt;=W$5),"■","")</f>
        <v/>
      </c>
      <c r="X12" s="8">
        <f>IF(AND($E12&lt;=X$5+6,$F12&gt;=X$5),"■","")</f>
        <v/>
      </c>
      <c r="Y12" s="8">
        <f>IF(AND($E12&lt;=Y$5+6,$F12&gt;=Y$5),"■","")</f>
        <v/>
      </c>
      <c r="Z12" s="8">
        <f>IF(AND($E12&lt;=Z$5+6,$F12&gt;=Z$5),"■","")</f>
        <v/>
      </c>
    </row>
    <row r="13" ht="48" customHeight="1">
      <c r="A13" s="5" t="inlineStr">
        <is>
          <t>D02</t>
        </is>
      </c>
      <c r="B13" s="5" t="inlineStr">
        <is>
          <t>数据采集</t>
        </is>
      </c>
      <c r="C13" s="5" t="inlineStr">
        <is>
          <t>标准观测/去重/补拉/质量</t>
        </is>
      </c>
      <c r="D13" s="5" t="inlineStr">
        <is>
          <t>后端＋数据</t>
        </is>
      </c>
      <c r="E13" s="7" t="n">
        <v>46342</v>
      </c>
      <c r="F13" s="7" t="n">
        <v>46376</v>
      </c>
      <c r="G13" s="5">
        <f>F13-E13+1</f>
        <v/>
      </c>
      <c r="H13" s="6" t="n">
        <v>0.08</v>
      </c>
      <c r="I13" s="6" t="n">
        <v>0</v>
      </c>
      <c r="J13" s="6">
        <f>H13*I13</f>
        <v/>
      </c>
      <c r="K13" s="5" t="inlineStr">
        <is>
          <t>未启动（资源/接入/审批依赖待落实）</t>
        </is>
      </c>
      <c r="L13" s="5" t="inlineStr">
        <is>
          <t>时间单位、幂等、恢复和质量场景通过</t>
        </is>
      </c>
      <c r="M13" s="8">
        <f>IF(AND($E13&lt;=M$5+6,$F13&gt;=M$5),"■","")</f>
        <v/>
      </c>
      <c r="N13" s="8">
        <f>IF(AND($E13&lt;=N$5+6,$F13&gt;=N$5),"■","")</f>
        <v/>
      </c>
      <c r="O13" s="8">
        <f>IF(AND($E13&lt;=O$5+6,$F13&gt;=O$5),"■","")</f>
        <v/>
      </c>
      <c r="P13" s="8">
        <f>IF(AND($E13&lt;=P$5+6,$F13&gt;=P$5),"■","")</f>
        <v/>
      </c>
      <c r="Q13" s="8">
        <f>IF(AND($E13&lt;=Q$5+6,$F13&gt;=Q$5),"■","")</f>
        <v/>
      </c>
      <c r="R13" s="8">
        <f>IF(AND($E13&lt;=R$5+6,$F13&gt;=R$5),"■","")</f>
        <v/>
      </c>
      <c r="S13" s="8">
        <f>IF(AND($E13&lt;=S$5+6,$F13&gt;=S$5),"■","")</f>
        <v/>
      </c>
      <c r="T13" s="8">
        <f>IF(AND($E13&lt;=T$5+6,$F13&gt;=T$5),"■","")</f>
        <v/>
      </c>
      <c r="U13" s="8">
        <f>IF(AND($E13&lt;=U$5+6,$F13&gt;=U$5),"■","")</f>
        <v/>
      </c>
      <c r="V13" s="8">
        <f>IF(AND($E13&lt;=V$5+6,$F13&gt;=V$5),"■","")</f>
        <v/>
      </c>
      <c r="W13" s="8">
        <f>IF(AND($E13&lt;=W$5+6,$F13&gt;=W$5),"■","")</f>
        <v/>
      </c>
      <c r="X13" s="8">
        <f>IF(AND($E13&lt;=X$5+6,$F13&gt;=X$5),"■","")</f>
        <v/>
      </c>
      <c r="Y13" s="8">
        <f>IF(AND($E13&lt;=Y$5+6,$F13&gt;=Y$5),"■","")</f>
        <v/>
      </c>
      <c r="Z13" s="8">
        <f>IF(AND($E13&lt;=Z$5+6,$F13&gt;=Z$5),"■","")</f>
        <v/>
      </c>
    </row>
    <row r="14" ht="48" customHeight="1">
      <c r="A14" s="5" t="inlineStr">
        <is>
          <t>D03</t>
        </is>
      </c>
      <c r="B14" s="5" t="inlineStr">
        <is>
          <t>数据采集</t>
        </is>
      </c>
      <c r="C14" s="5" t="inlineStr">
        <is>
          <t>曲线/同步监控/数据查询</t>
        </is>
      </c>
      <c r="D14" s="5" t="inlineStr">
        <is>
          <t>客户端＋后端</t>
        </is>
      </c>
      <c r="E14" s="7" t="n">
        <v>46349</v>
      </c>
      <c r="F14" s="7" t="n">
        <v>46376</v>
      </c>
      <c r="G14" s="5">
        <f>F14-E14+1</f>
        <v/>
      </c>
      <c r="H14" s="6" t="n">
        <v>0.07000000000000001</v>
      </c>
      <c r="I14" s="6" t="n">
        <v>0</v>
      </c>
      <c r="J14" s="6">
        <f>H14*I14</f>
        <v/>
      </c>
      <c r="K14" s="5" t="inlineStr">
        <is>
          <t>未启动（资源/接入/审批依赖待落实）</t>
        </is>
      </c>
      <c r="L14" s="5" t="inlineStr">
        <is>
          <t>曲线与后台追溯正确，查询和监控验收</t>
        </is>
      </c>
      <c r="M14" s="8">
        <f>IF(AND($E14&lt;=M$5+6,$F14&gt;=M$5),"■","")</f>
        <v/>
      </c>
      <c r="N14" s="8">
        <f>IF(AND($E14&lt;=N$5+6,$F14&gt;=N$5),"■","")</f>
        <v/>
      </c>
      <c r="O14" s="8">
        <f>IF(AND($E14&lt;=O$5+6,$F14&gt;=O$5),"■","")</f>
        <v/>
      </c>
      <c r="P14" s="8">
        <f>IF(AND($E14&lt;=P$5+6,$F14&gt;=P$5),"■","")</f>
        <v/>
      </c>
      <c r="Q14" s="8">
        <f>IF(AND($E14&lt;=Q$5+6,$F14&gt;=Q$5),"■","")</f>
        <v/>
      </c>
      <c r="R14" s="8">
        <f>IF(AND($E14&lt;=R$5+6,$F14&gt;=R$5),"■","")</f>
        <v/>
      </c>
      <c r="S14" s="8">
        <f>IF(AND($E14&lt;=S$5+6,$F14&gt;=S$5),"■","")</f>
        <v/>
      </c>
      <c r="T14" s="8">
        <f>IF(AND($E14&lt;=T$5+6,$F14&gt;=T$5),"■","")</f>
        <v/>
      </c>
      <c r="U14" s="8">
        <f>IF(AND($E14&lt;=U$5+6,$F14&gt;=U$5),"■","")</f>
        <v/>
      </c>
      <c r="V14" s="8">
        <f>IF(AND($E14&lt;=V$5+6,$F14&gt;=V$5),"■","")</f>
        <v/>
      </c>
      <c r="W14" s="8">
        <f>IF(AND($E14&lt;=W$5+6,$F14&gt;=W$5),"■","")</f>
        <v/>
      </c>
      <c r="X14" s="8">
        <f>IF(AND($E14&lt;=X$5+6,$F14&gt;=X$5),"■","")</f>
        <v/>
      </c>
      <c r="Y14" s="8">
        <f>IF(AND($E14&lt;=Y$5+6,$F14&gt;=Y$5),"■","")</f>
        <v/>
      </c>
      <c r="Z14" s="8">
        <f>IF(AND($E14&lt;=Z$5+6,$F14&gt;=Z$5),"■","")</f>
        <v/>
      </c>
    </row>
    <row r="15" ht="48" customHeight="1">
      <c r="A15" s="5" t="inlineStr">
        <is>
          <t>M01</t>
        </is>
      </c>
      <c r="B15" s="5" t="inlineStr">
        <is>
          <t>决策模型</t>
        </is>
      </c>
      <c r="C15" s="5" t="inlineStr">
        <is>
          <t>审定统计/规则与画像基线</t>
        </is>
      </c>
      <c r="D15" s="5" t="inlineStr">
        <is>
          <t>算法＋临床</t>
        </is>
      </c>
      <c r="E15" s="7" t="n">
        <v>46342</v>
      </c>
      <c r="F15" s="7" t="n">
        <v>46376</v>
      </c>
      <c r="G15" s="5">
        <f>F15-E15+1</f>
        <v/>
      </c>
      <c r="H15" s="6" t="n">
        <v>0.05</v>
      </c>
      <c r="I15" s="6" t="n">
        <v>0</v>
      </c>
      <c r="J15" s="6">
        <f>H15*I15</f>
        <v/>
      </c>
      <c r="K15" s="5" t="inlineStr">
        <is>
          <t>未启动（资源/接入/审批依赖待落实）</t>
        </is>
      </c>
      <c r="L15" s="5" t="inlineStr">
        <is>
          <t>指标口径、证据与质量限制可追溯</t>
        </is>
      </c>
      <c r="M15" s="8">
        <f>IF(AND($E15&lt;=M$5+6,$F15&gt;=M$5),"■","")</f>
        <v/>
      </c>
      <c r="N15" s="8">
        <f>IF(AND($E15&lt;=N$5+6,$F15&gt;=N$5),"■","")</f>
        <v/>
      </c>
      <c r="O15" s="8">
        <f>IF(AND($E15&lt;=O$5+6,$F15&gt;=O$5),"■","")</f>
        <v/>
      </c>
      <c r="P15" s="8">
        <f>IF(AND($E15&lt;=P$5+6,$F15&gt;=P$5),"■","")</f>
        <v/>
      </c>
      <c r="Q15" s="8">
        <f>IF(AND($E15&lt;=Q$5+6,$F15&gt;=Q$5),"■","")</f>
        <v/>
      </c>
      <c r="R15" s="8">
        <f>IF(AND($E15&lt;=R$5+6,$F15&gt;=R$5),"■","")</f>
        <v/>
      </c>
      <c r="S15" s="8">
        <f>IF(AND($E15&lt;=S$5+6,$F15&gt;=S$5),"■","")</f>
        <v/>
      </c>
      <c r="T15" s="8">
        <f>IF(AND($E15&lt;=T$5+6,$F15&gt;=T$5),"■","")</f>
        <v/>
      </c>
      <c r="U15" s="8">
        <f>IF(AND($E15&lt;=U$5+6,$F15&gt;=U$5),"■","")</f>
        <v/>
      </c>
      <c r="V15" s="8">
        <f>IF(AND($E15&lt;=V$5+6,$F15&gt;=V$5),"■","")</f>
        <v/>
      </c>
      <c r="W15" s="8">
        <f>IF(AND($E15&lt;=W$5+6,$F15&gt;=W$5),"■","")</f>
        <v/>
      </c>
      <c r="X15" s="8">
        <f>IF(AND($E15&lt;=X$5+6,$F15&gt;=X$5),"■","")</f>
        <v/>
      </c>
      <c r="Y15" s="8">
        <f>IF(AND($E15&lt;=Y$5+6,$F15&gt;=Y$5),"■","")</f>
        <v/>
      </c>
      <c r="Z15" s="8">
        <f>IF(AND($E15&lt;=Z$5+6,$F15&gt;=Z$5),"■","")</f>
        <v/>
      </c>
    </row>
    <row r="16" ht="48" customHeight="1">
      <c r="A16" s="5" t="inlineStr">
        <is>
          <t>M02</t>
        </is>
      </c>
      <c r="B16" s="5" t="inlineStr">
        <is>
          <t>决策模型</t>
        </is>
      </c>
      <c r="C16" s="5" t="inlineStr">
        <is>
          <t>自有模型首轮训练/独立离线评估</t>
        </is>
      </c>
      <c r="D16" s="5" t="inlineStr">
        <is>
          <t>算法</t>
        </is>
      </c>
      <c r="E16" s="7" t="n">
        <v>46342</v>
      </c>
      <c r="F16" s="7" t="n">
        <v>46383</v>
      </c>
      <c r="G16" s="5">
        <f>F16-E16+1</f>
        <v/>
      </c>
      <c r="H16" s="6" t="n">
        <v>0.08</v>
      </c>
      <c r="I16" s="6" t="n">
        <v>0</v>
      </c>
      <c r="J16" s="6">
        <f>H16*I16</f>
        <v/>
      </c>
      <c r="K16" s="5" t="inlineStr">
        <is>
          <t>未启动（资源/接入/审批依赖待落实）</t>
        </is>
      </c>
      <c r="L16" s="5" t="inlineStr">
        <is>
          <t>数据许可和质量达标后训练；隔离测试与报告完成；未达门槛仅影子运行</t>
        </is>
      </c>
      <c r="M16" s="8">
        <f>IF(AND($E16&lt;=M$5+6,$F16&gt;=M$5),"■","")</f>
        <v/>
      </c>
      <c r="N16" s="8">
        <f>IF(AND($E16&lt;=N$5+6,$F16&gt;=N$5),"■","")</f>
        <v/>
      </c>
      <c r="O16" s="8">
        <f>IF(AND($E16&lt;=O$5+6,$F16&gt;=O$5),"■","")</f>
        <v/>
      </c>
      <c r="P16" s="8">
        <f>IF(AND($E16&lt;=P$5+6,$F16&gt;=P$5),"■","")</f>
        <v/>
      </c>
      <c r="Q16" s="8">
        <f>IF(AND($E16&lt;=Q$5+6,$F16&gt;=Q$5),"■","")</f>
        <v/>
      </c>
      <c r="R16" s="8">
        <f>IF(AND($E16&lt;=R$5+6,$F16&gt;=R$5),"■","")</f>
        <v/>
      </c>
      <c r="S16" s="8">
        <f>IF(AND($E16&lt;=S$5+6,$F16&gt;=S$5),"■","")</f>
        <v/>
      </c>
      <c r="T16" s="8">
        <f>IF(AND($E16&lt;=T$5+6,$F16&gt;=T$5),"■","")</f>
        <v/>
      </c>
      <c r="U16" s="8">
        <f>IF(AND($E16&lt;=U$5+6,$F16&gt;=U$5),"■","")</f>
        <v/>
      </c>
      <c r="V16" s="8">
        <f>IF(AND($E16&lt;=V$5+6,$F16&gt;=V$5),"■","")</f>
        <v/>
      </c>
      <c r="W16" s="8">
        <f>IF(AND($E16&lt;=W$5+6,$F16&gt;=W$5),"■","")</f>
        <v/>
      </c>
      <c r="X16" s="8">
        <f>IF(AND($E16&lt;=X$5+6,$F16&gt;=X$5),"■","")</f>
        <v/>
      </c>
      <c r="Y16" s="8">
        <f>IF(AND($E16&lt;=Y$5+6,$F16&gt;=Y$5),"■","")</f>
        <v/>
      </c>
      <c r="Z16" s="8">
        <f>IF(AND($E16&lt;=Z$5+6,$F16&gt;=Z$5),"■","")</f>
        <v/>
      </c>
    </row>
    <row r="17" ht="48" customHeight="1">
      <c r="A17" s="5" t="inlineStr">
        <is>
          <t>M03</t>
        </is>
      </c>
      <c r="B17" s="5" t="inlineStr">
        <is>
          <t>决策模型</t>
        </is>
      </c>
      <c r="C17" s="5" t="inlineStr">
        <is>
          <t>解释/模型服务/版本/降级</t>
        </is>
      </c>
      <c r="D17" s="5" t="inlineStr">
        <is>
          <t>算法＋后端</t>
        </is>
      </c>
      <c r="E17" s="7" t="n">
        <v>46356</v>
      </c>
      <c r="F17" s="7" t="n">
        <v>46383</v>
      </c>
      <c r="G17" s="5">
        <f>F17-E17+1</f>
        <v/>
      </c>
      <c r="H17" s="6" t="n">
        <v>0.07000000000000001</v>
      </c>
      <c r="I17" s="6" t="n">
        <v>0</v>
      </c>
      <c r="J17" s="6">
        <f>H17*I17</f>
        <v/>
      </c>
      <c r="K17" s="5" t="inlineStr">
        <is>
          <t>未启动（资源/接入/审批依赖待落实）</t>
        </is>
      </c>
      <c r="L17" s="5" t="inlineStr">
        <is>
          <t>事实一致校验、版本、影子模式与回退通过</t>
        </is>
      </c>
      <c r="M17" s="8">
        <f>IF(AND($E17&lt;=M$5+6,$F17&gt;=M$5),"■","")</f>
        <v/>
      </c>
      <c r="N17" s="8">
        <f>IF(AND($E17&lt;=N$5+6,$F17&gt;=N$5),"■","")</f>
        <v/>
      </c>
      <c r="O17" s="8">
        <f>IF(AND($E17&lt;=O$5+6,$F17&gt;=O$5),"■","")</f>
        <v/>
      </c>
      <c r="P17" s="8">
        <f>IF(AND($E17&lt;=P$5+6,$F17&gt;=P$5),"■","")</f>
        <v/>
      </c>
      <c r="Q17" s="8">
        <f>IF(AND($E17&lt;=Q$5+6,$F17&gt;=Q$5),"■","")</f>
        <v/>
      </c>
      <c r="R17" s="8">
        <f>IF(AND($E17&lt;=R$5+6,$F17&gt;=R$5),"■","")</f>
        <v/>
      </c>
      <c r="S17" s="8">
        <f>IF(AND($E17&lt;=S$5+6,$F17&gt;=S$5),"■","")</f>
        <v/>
      </c>
      <c r="T17" s="8">
        <f>IF(AND($E17&lt;=T$5+6,$F17&gt;=T$5),"■","")</f>
        <v/>
      </c>
      <c r="U17" s="8">
        <f>IF(AND($E17&lt;=U$5+6,$F17&gt;=U$5),"■","")</f>
        <v/>
      </c>
      <c r="V17" s="8">
        <f>IF(AND($E17&lt;=V$5+6,$F17&gt;=V$5),"■","")</f>
        <v/>
      </c>
      <c r="W17" s="8">
        <f>IF(AND($E17&lt;=W$5+6,$F17&gt;=W$5),"■","")</f>
        <v/>
      </c>
      <c r="X17" s="8">
        <f>IF(AND($E17&lt;=X$5+6,$F17&gt;=X$5),"■","")</f>
        <v/>
      </c>
      <c r="Y17" s="8">
        <f>IF(AND($E17&lt;=Y$5+6,$F17&gt;=Y$5),"■","")</f>
        <v/>
      </c>
      <c r="Z17" s="8">
        <f>IF(AND($E17&lt;=Z$5+6,$F17&gt;=Z$5),"■","")</f>
        <v/>
      </c>
    </row>
    <row r="18" ht="48" customHeight="1">
      <c r="A18" s="5" t="inlineStr">
        <is>
          <t>U01</t>
        </is>
      </c>
      <c r="B18" s="5" t="inlineStr">
        <is>
          <t>用户与干预</t>
        </is>
      </c>
      <c r="C18" s="5" t="inlineStr">
        <is>
          <t>患者资料/曲线/建议反馈</t>
        </is>
      </c>
      <c r="D18" s="5" t="inlineStr">
        <is>
          <t>客户端</t>
        </is>
      </c>
      <c r="E18" s="7" t="n">
        <v>46342</v>
      </c>
      <c r="F18" s="7" t="n">
        <v>46376</v>
      </c>
      <c r="G18" s="5">
        <f>F18-E18+1</f>
        <v/>
      </c>
      <c r="H18" s="6" t="n">
        <v>0.05</v>
      </c>
      <c r="I18" s="6" t="n">
        <v>0</v>
      </c>
      <c r="J18" s="6">
        <f>H18*I18</f>
        <v/>
      </c>
      <c r="K18" s="5" t="inlineStr">
        <is>
          <t>未启动（资源/接入/审批依赖待落实）</t>
        </is>
      </c>
      <c r="L18" s="5" t="inlineStr">
        <is>
          <t>主要用户路径验收与反馈闭环通过</t>
        </is>
      </c>
      <c r="M18" s="8">
        <f>IF(AND($E18&lt;=M$5+6,$F18&gt;=M$5),"■","")</f>
        <v/>
      </c>
      <c r="N18" s="8">
        <f>IF(AND($E18&lt;=N$5+6,$F18&gt;=N$5),"■","")</f>
        <v/>
      </c>
      <c r="O18" s="8">
        <f>IF(AND($E18&lt;=O$5+6,$F18&gt;=O$5),"■","")</f>
        <v/>
      </c>
      <c r="P18" s="8">
        <f>IF(AND($E18&lt;=P$5+6,$F18&gt;=P$5),"■","")</f>
        <v/>
      </c>
      <c r="Q18" s="8">
        <f>IF(AND($E18&lt;=Q$5+6,$F18&gt;=Q$5),"■","")</f>
        <v/>
      </c>
      <c r="R18" s="8">
        <f>IF(AND($E18&lt;=R$5+6,$F18&gt;=R$5),"■","")</f>
        <v/>
      </c>
      <c r="S18" s="8">
        <f>IF(AND($E18&lt;=S$5+6,$F18&gt;=S$5),"■","")</f>
        <v/>
      </c>
      <c r="T18" s="8">
        <f>IF(AND($E18&lt;=T$5+6,$F18&gt;=T$5),"■","")</f>
        <v/>
      </c>
      <c r="U18" s="8">
        <f>IF(AND($E18&lt;=U$5+6,$F18&gt;=U$5),"■","")</f>
        <v/>
      </c>
      <c r="V18" s="8">
        <f>IF(AND($E18&lt;=V$5+6,$F18&gt;=V$5),"■","")</f>
        <v/>
      </c>
      <c r="W18" s="8">
        <f>IF(AND($E18&lt;=W$5+6,$F18&gt;=W$5),"■","")</f>
        <v/>
      </c>
      <c r="X18" s="8">
        <f>IF(AND($E18&lt;=X$5+6,$F18&gt;=X$5),"■","")</f>
        <v/>
      </c>
      <c r="Y18" s="8">
        <f>IF(AND($E18&lt;=Y$5+6,$F18&gt;=Y$5),"■","")</f>
        <v/>
      </c>
      <c r="Z18" s="8">
        <f>IF(AND($E18&lt;=Z$5+6,$F18&gt;=Z$5),"■","")</f>
        <v/>
      </c>
    </row>
    <row r="19" ht="48" customHeight="1">
      <c r="A19" s="5" t="inlineStr">
        <is>
          <t>U02</t>
        </is>
      </c>
      <c r="B19" s="5" t="inlineStr">
        <is>
          <t>用户与干预</t>
        </is>
      </c>
      <c r="C19" s="5" t="inlineStr">
        <is>
          <t>医生工作台/审核/异常处置</t>
        </is>
      </c>
      <c r="D19" s="5" t="inlineStr">
        <is>
          <t>后端＋客户端＋临床</t>
        </is>
      </c>
      <c r="E19" s="7" t="n">
        <v>46349</v>
      </c>
      <c r="F19" s="7" t="n">
        <v>46383</v>
      </c>
      <c r="G19" s="5">
        <f>F19-E19+1</f>
        <v/>
      </c>
      <c r="H19" s="6" t="n">
        <v>0.06</v>
      </c>
      <c r="I19" s="6" t="n">
        <v>0</v>
      </c>
      <c r="J19" s="6">
        <f>H19*I19</f>
        <v/>
      </c>
      <c r="K19" s="5" t="inlineStr">
        <is>
          <t>未启动（资源/接入/审批依赖待落实）</t>
        </is>
      </c>
      <c r="L19" s="5" t="inlineStr">
        <is>
          <t>患者授权、审查状态、投递与异常演练通过</t>
        </is>
      </c>
      <c r="M19" s="8">
        <f>IF(AND($E19&lt;=M$5+6,$F19&gt;=M$5),"■","")</f>
        <v/>
      </c>
      <c r="N19" s="8">
        <f>IF(AND($E19&lt;=N$5+6,$F19&gt;=N$5),"■","")</f>
        <v/>
      </c>
      <c r="O19" s="8">
        <f>IF(AND($E19&lt;=O$5+6,$F19&gt;=O$5),"■","")</f>
        <v/>
      </c>
      <c r="P19" s="8">
        <f>IF(AND($E19&lt;=P$5+6,$F19&gt;=P$5),"■","")</f>
        <v/>
      </c>
      <c r="Q19" s="8">
        <f>IF(AND($E19&lt;=Q$5+6,$F19&gt;=Q$5),"■","")</f>
        <v/>
      </c>
      <c r="R19" s="8">
        <f>IF(AND($E19&lt;=R$5+6,$F19&gt;=R$5),"■","")</f>
        <v/>
      </c>
      <c r="S19" s="8">
        <f>IF(AND($E19&lt;=S$5+6,$F19&gt;=S$5),"■","")</f>
        <v/>
      </c>
      <c r="T19" s="8">
        <f>IF(AND($E19&lt;=T$5+6,$F19&gt;=T$5),"■","")</f>
        <v/>
      </c>
      <c r="U19" s="8">
        <f>IF(AND($E19&lt;=U$5+6,$F19&gt;=U$5),"■","")</f>
        <v/>
      </c>
      <c r="V19" s="8">
        <f>IF(AND($E19&lt;=V$5+6,$F19&gt;=V$5),"■","")</f>
        <v/>
      </c>
      <c r="W19" s="8">
        <f>IF(AND($E19&lt;=W$5+6,$F19&gt;=W$5),"■","")</f>
        <v/>
      </c>
      <c r="X19" s="8">
        <f>IF(AND($E19&lt;=X$5+6,$F19&gt;=X$5),"■","")</f>
        <v/>
      </c>
      <c r="Y19" s="8">
        <f>IF(AND($E19&lt;=Y$5+6,$F19&gt;=Y$5),"■","")</f>
        <v/>
      </c>
      <c r="Z19" s="8">
        <f>IF(AND($E19&lt;=Z$5+6,$F19&gt;=Z$5),"■","")</f>
        <v/>
      </c>
    </row>
    <row r="20" ht="48" customHeight="1">
      <c r="A20" s="5" t="inlineStr">
        <is>
          <t>U03</t>
        </is>
      </c>
      <c r="B20" s="5" t="inlineStr">
        <is>
          <t>用户与干预</t>
        </is>
      </c>
      <c r="C20" s="5" t="inlineStr">
        <is>
          <t>专业智能体/合并/安全影子链路</t>
        </is>
      </c>
      <c r="D20" s="5" t="inlineStr">
        <is>
          <t>算法＋临床</t>
        </is>
      </c>
      <c r="E20" s="7" t="n">
        <v>46356</v>
      </c>
      <c r="F20" s="7" t="n">
        <v>46383</v>
      </c>
      <c r="G20" s="5">
        <f>F20-E20+1</f>
        <v/>
      </c>
      <c r="H20" s="6" t="n">
        <v>0.04</v>
      </c>
      <c r="I20" s="6" t="n">
        <v>0</v>
      </c>
      <c r="J20" s="6">
        <f>H20*I20</f>
        <v/>
      </c>
      <c r="K20" s="5" t="inlineStr">
        <is>
          <t>未启动（资源/接入/审批依赖待落实）</t>
        </is>
      </c>
      <c r="L20" s="5" t="inlineStr">
        <is>
          <t>结构化候选、冲突和硬规则验证；未通过不向患者发布</t>
        </is>
      </c>
      <c r="M20" s="8">
        <f>IF(AND($E20&lt;=M$5+6,$F20&gt;=M$5),"■","")</f>
        <v/>
      </c>
      <c r="N20" s="8">
        <f>IF(AND($E20&lt;=N$5+6,$F20&gt;=N$5),"■","")</f>
        <v/>
      </c>
      <c r="O20" s="8">
        <f>IF(AND($E20&lt;=O$5+6,$F20&gt;=O$5),"■","")</f>
        <v/>
      </c>
      <c r="P20" s="8">
        <f>IF(AND($E20&lt;=P$5+6,$F20&gt;=P$5),"■","")</f>
        <v/>
      </c>
      <c r="Q20" s="8">
        <f>IF(AND($E20&lt;=Q$5+6,$F20&gt;=Q$5),"■","")</f>
        <v/>
      </c>
      <c r="R20" s="8">
        <f>IF(AND($E20&lt;=R$5+6,$F20&gt;=R$5),"■","")</f>
        <v/>
      </c>
      <c r="S20" s="8">
        <f>IF(AND($E20&lt;=S$5+6,$F20&gt;=S$5),"■","")</f>
        <v/>
      </c>
      <c r="T20" s="8">
        <f>IF(AND($E20&lt;=T$5+6,$F20&gt;=T$5),"■","")</f>
        <v/>
      </c>
      <c r="U20" s="8">
        <f>IF(AND($E20&lt;=U$5+6,$F20&gt;=U$5),"■","")</f>
        <v/>
      </c>
      <c r="V20" s="8">
        <f>IF(AND($E20&lt;=V$5+6,$F20&gt;=V$5),"■","")</f>
        <v/>
      </c>
      <c r="W20" s="8">
        <f>IF(AND($E20&lt;=W$5+6,$F20&gt;=W$5),"■","")</f>
        <v/>
      </c>
      <c r="X20" s="8">
        <f>IF(AND($E20&lt;=X$5+6,$F20&gt;=X$5),"■","")</f>
        <v/>
      </c>
      <c r="Y20" s="8">
        <f>IF(AND($E20&lt;=Y$5+6,$F20&gt;=Y$5),"■","")</f>
        <v/>
      </c>
      <c r="Z20" s="8">
        <f>IF(AND($E20&lt;=Z$5+6,$F20&gt;=Z$5),"■","")</f>
        <v/>
      </c>
    </row>
    <row r="21" ht="48" customHeight="1">
      <c r="A21" s="5" t="inlineStr">
        <is>
          <t>Q01</t>
        </is>
      </c>
      <c r="B21" s="5" t="inlineStr">
        <is>
          <t>验证</t>
        </is>
      </c>
      <c r="C21" s="5" t="inlineStr">
        <is>
          <t>功能/集成/安全/压力/恢复</t>
        </is>
      </c>
      <c r="D21" s="5" t="inlineStr">
        <is>
          <t>QA＋技术</t>
        </is>
      </c>
      <c r="E21" s="7" t="n">
        <v>46363</v>
      </c>
      <c r="F21" s="7" t="n">
        <v>46383</v>
      </c>
      <c r="G21" s="5">
        <f>F21-E21+1</f>
        <v/>
      </c>
      <c r="H21" s="6" t="n">
        <v>0.06</v>
      </c>
      <c r="I21" s="6" t="n">
        <v>0</v>
      </c>
      <c r="J21" s="6">
        <f>H21*I21</f>
        <v/>
      </c>
      <c r="K21" s="5" t="inlineStr">
        <is>
          <t>未启动（资源/接入/审批依赖待落实）</t>
        </is>
      </c>
      <c r="L21" s="5" t="inlineStr">
        <is>
          <t>冻结必需测试通过、关键缺陷为0</t>
        </is>
      </c>
      <c r="M21" s="8">
        <f>IF(AND($E21&lt;=M$5+6,$F21&gt;=M$5),"■","")</f>
        <v/>
      </c>
      <c r="N21" s="8">
        <f>IF(AND($E21&lt;=N$5+6,$F21&gt;=N$5),"■","")</f>
        <v/>
      </c>
      <c r="O21" s="8">
        <f>IF(AND($E21&lt;=O$5+6,$F21&gt;=O$5),"■","")</f>
        <v/>
      </c>
      <c r="P21" s="8">
        <f>IF(AND($E21&lt;=P$5+6,$F21&gt;=P$5),"■","")</f>
        <v/>
      </c>
      <c r="Q21" s="8">
        <f>IF(AND($E21&lt;=Q$5+6,$F21&gt;=Q$5),"■","")</f>
        <v/>
      </c>
      <c r="R21" s="8">
        <f>IF(AND($E21&lt;=R$5+6,$F21&gt;=R$5),"■","")</f>
        <v/>
      </c>
      <c r="S21" s="8">
        <f>IF(AND($E21&lt;=S$5+6,$F21&gt;=S$5),"■","")</f>
        <v/>
      </c>
      <c r="T21" s="8">
        <f>IF(AND($E21&lt;=T$5+6,$F21&gt;=T$5),"■","")</f>
        <v/>
      </c>
      <c r="U21" s="8">
        <f>IF(AND($E21&lt;=U$5+6,$F21&gt;=U$5),"■","")</f>
        <v/>
      </c>
      <c r="V21" s="8">
        <f>IF(AND($E21&lt;=V$5+6,$F21&gt;=V$5),"■","")</f>
        <v/>
      </c>
      <c r="W21" s="8">
        <f>IF(AND($E21&lt;=W$5+6,$F21&gt;=W$5),"■","")</f>
        <v/>
      </c>
      <c r="X21" s="8">
        <f>IF(AND($E21&lt;=X$5+6,$F21&gt;=X$5),"■","")</f>
        <v/>
      </c>
      <c r="Y21" s="8">
        <f>IF(AND($E21&lt;=Y$5+6,$F21&gt;=Y$5),"■","")</f>
        <v/>
      </c>
      <c r="Z21" s="8">
        <f>IF(AND($E21&lt;=Z$5+6,$F21&gt;=Z$5),"■","")</f>
        <v/>
      </c>
    </row>
    <row r="22" ht="48" customHeight="1">
      <c r="A22" s="5" t="inlineStr">
        <is>
          <t>Q02</t>
        </is>
      </c>
      <c r="B22" s="5" t="inlineStr">
        <is>
          <t>验证</t>
        </is>
      </c>
      <c r="C22" s="5" t="inlineStr">
        <is>
          <t>临床内容/风险/试点准入</t>
        </is>
      </c>
      <c r="D22" s="5" t="inlineStr">
        <is>
          <t>临床＋合规</t>
        </is>
      </c>
      <c r="E22" s="7" t="n">
        <v>46314</v>
      </c>
      <c r="F22" s="7" t="n">
        <v>46383</v>
      </c>
      <c r="G22" s="5">
        <f>F22-E22+1</f>
        <v/>
      </c>
      <c r="H22" s="6" t="n">
        <v>0.05</v>
      </c>
      <c r="I22" s="6" t="n">
        <v>0</v>
      </c>
      <c r="J22" s="6">
        <f>H22*I22</f>
        <v/>
      </c>
      <c r="K22" s="5" t="inlineStr">
        <is>
          <t>未启动（资源/接入/审批依赖待落实）</t>
        </is>
      </c>
      <c r="L22" s="5" t="inlineStr">
        <is>
          <t>内容和风险路径审定，适用机构/伦理等准入完成</t>
        </is>
      </c>
      <c r="M22" s="8">
        <f>IF(AND($E22&lt;=M$5+6,$F22&gt;=M$5),"■","")</f>
        <v/>
      </c>
      <c r="N22" s="8">
        <f>IF(AND($E22&lt;=N$5+6,$F22&gt;=N$5),"■","")</f>
        <v/>
      </c>
      <c r="O22" s="8">
        <f>IF(AND($E22&lt;=O$5+6,$F22&gt;=O$5),"■","")</f>
        <v/>
      </c>
      <c r="P22" s="8">
        <f>IF(AND($E22&lt;=P$5+6,$F22&gt;=P$5),"■","")</f>
        <v/>
      </c>
      <c r="Q22" s="8">
        <f>IF(AND($E22&lt;=Q$5+6,$F22&gt;=Q$5),"■","")</f>
        <v/>
      </c>
      <c r="R22" s="8">
        <f>IF(AND($E22&lt;=R$5+6,$F22&gt;=R$5),"■","")</f>
        <v/>
      </c>
      <c r="S22" s="8">
        <f>IF(AND($E22&lt;=S$5+6,$F22&gt;=S$5),"■","")</f>
        <v/>
      </c>
      <c r="T22" s="8">
        <f>IF(AND($E22&lt;=T$5+6,$F22&gt;=T$5),"■","")</f>
        <v/>
      </c>
      <c r="U22" s="8">
        <f>IF(AND($E22&lt;=U$5+6,$F22&gt;=U$5),"■","")</f>
        <v/>
      </c>
      <c r="V22" s="8">
        <f>IF(AND($E22&lt;=V$5+6,$F22&gt;=V$5),"■","")</f>
        <v/>
      </c>
      <c r="W22" s="8">
        <f>IF(AND($E22&lt;=W$5+6,$F22&gt;=W$5),"■","")</f>
        <v/>
      </c>
      <c r="X22" s="8">
        <f>IF(AND($E22&lt;=X$5+6,$F22&gt;=X$5),"■","")</f>
        <v/>
      </c>
      <c r="Y22" s="8">
        <f>IF(AND($E22&lt;=Y$5+6,$F22&gt;=Y$5),"■","")</f>
        <v/>
      </c>
      <c r="Z22" s="8">
        <f>IF(AND($E22&lt;=Z$5+6,$F22&gt;=Z$5),"■","")</f>
        <v/>
      </c>
    </row>
    <row r="23" ht="48" customHeight="1">
      <c r="A23" s="5" t="inlineStr">
        <is>
          <t>Q03</t>
        </is>
      </c>
      <c r="B23" s="5" t="inlineStr">
        <is>
          <t>验证</t>
        </is>
      </c>
      <c r="C23" s="5" t="inlineStr">
        <is>
          <t>首轮试点运行与问题关闭</t>
        </is>
      </c>
      <c r="D23" s="5" t="inlineStr">
        <is>
          <t>PDT＋QA＋临床</t>
        </is>
      </c>
      <c r="E23" s="7" t="n">
        <v>46384</v>
      </c>
      <c r="F23" s="7" t="n">
        <v>46411</v>
      </c>
      <c r="G23" s="5">
        <f>F23-E23+1</f>
        <v/>
      </c>
      <c r="H23" s="6" t="n">
        <v>0.04</v>
      </c>
      <c r="I23" s="6" t="n">
        <v>0</v>
      </c>
      <c r="J23" s="6">
        <f>H23*I23</f>
        <v/>
      </c>
      <c r="K23" s="5" t="inlineStr">
        <is>
          <t>未启动（资源/接入/审批依赖待落实）</t>
        </is>
      </c>
      <c r="L23" s="5" t="inlineStr">
        <is>
          <t>已观察批次运行报告与关键问题关闭，后入组随访另列</t>
        </is>
      </c>
      <c r="M23" s="8">
        <f>IF(AND($E23&lt;=M$5+6,$F23&gt;=M$5),"■","")</f>
        <v/>
      </c>
      <c r="N23" s="8">
        <f>IF(AND($E23&lt;=N$5+6,$F23&gt;=N$5),"■","")</f>
        <v/>
      </c>
      <c r="O23" s="8">
        <f>IF(AND($E23&lt;=O$5+6,$F23&gt;=O$5),"■","")</f>
        <v/>
      </c>
      <c r="P23" s="8">
        <f>IF(AND($E23&lt;=P$5+6,$F23&gt;=P$5),"■","")</f>
        <v/>
      </c>
      <c r="Q23" s="8">
        <f>IF(AND($E23&lt;=Q$5+6,$F23&gt;=Q$5),"■","")</f>
        <v/>
      </c>
      <c r="R23" s="8">
        <f>IF(AND($E23&lt;=R$5+6,$F23&gt;=R$5),"■","")</f>
        <v/>
      </c>
      <c r="S23" s="8">
        <f>IF(AND($E23&lt;=S$5+6,$F23&gt;=S$5),"■","")</f>
        <v/>
      </c>
      <c r="T23" s="8">
        <f>IF(AND($E23&lt;=T$5+6,$F23&gt;=T$5),"■","")</f>
        <v/>
      </c>
      <c r="U23" s="8">
        <f>IF(AND($E23&lt;=U$5+6,$F23&gt;=U$5),"■","")</f>
        <v/>
      </c>
      <c r="V23" s="8">
        <f>IF(AND($E23&lt;=V$5+6,$F23&gt;=V$5),"■","")</f>
        <v/>
      </c>
      <c r="W23" s="8">
        <f>IF(AND($E23&lt;=W$5+6,$F23&gt;=W$5),"■","")</f>
        <v/>
      </c>
      <c r="X23" s="8">
        <f>IF(AND($E23&lt;=X$5+6,$F23&gt;=X$5),"■","")</f>
        <v/>
      </c>
      <c r="Y23" s="8">
        <f>IF(AND($E23&lt;=Y$5+6,$F23&gt;=Y$5),"■","")</f>
        <v/>
      </c>
      <c r="Z23" s="8">
        <f>IF(AND($E23&lt;=Z$5+6,$F23&gt;=Z$5),"■","")</f>
        <v/>
      </c>
    </row>
    <row r="24" ht="48" customHeight="1">
      <c r="A24" s="5" t="inlineStr">
        <is>
          <t>O01</t>
        </is>
      </c>
      <c r="B24" s="5" t="inlineStr">
        <is>
          <t>试点运营</t>
        </is>
      </c>
      <c r="C24" s="5" t="inlineStr">
        <is>
          <t>首批招募/支持/灰度/责任交接</t>
        </is>
      </c>
      <c r="D24" s="5" t="inlineStr">
        <is>
          <t>运营＋临床</t>
        </is>
      </c>
      <c r="E24" s="7" t="n">
        <v>46370</v>
      </c>
      <c r="F24" s="7" t="n">
        <v>46397</v>
      </c>
      <c r="G24" s="5">
        <f>F24-E24+1</f>
        <v/>
      </c>
      <c r="H24" s="6" t="n">
        <v>0.02</v>
      </c>
      <c r="I24" s="6" t="n">
        <v>0</v>
      </c>
      <c r="J24" s="6">
        <f>H24*I24</f>
        <v/>
      </c>
      <c r="K24" s="5" t="inlineStr">
        <is>
          <t>未启动（资源/接入/审批依赖待落实）</t>
        </is>
      </c>
      <c r="L24" s="5" t="inlineStr">
        <is>
          <t>人员与服务容量到位，首批10–20人获准入组并启动</t>
        </is>
      </c>
      <c r="M24" s="8">
        <f>IF(AND($E24&lt;=M$5+6,$F24&gt;=M$5),"■","")</f>
        <v/>
      </c>
      <c r="N24" s="8">
        <f>IF(AND($E24&lt;=N$5+6,$F24&gt;=N$5),"■","")</f>
        <v/>
      </c>
      <c r="O24" s="8">
        <f>IF(AND($E24&lt;=O$5+6,$F24&gt;=O$5),"■","")</f>
        <v/>
      </c>
      <c r="P24" s="8">
        <f>IF(AND($E24&lt;=P$5+6,$F24&gt;=P$5),"■","")</f>
        <v/>
      </c>
      <c r="Q24" s="8">
        <f>IF(AND($E24&lt;=Q$5+6,$F24&gt;=Q$5),"■","")</f>
        <v/>
      </c>
      <c r="R24" s="8">
        <f>IF(AND($E24&lt;=R$5+6,$F24&gt;=R$5),"■","")</f>
        <v/>
      </c>
      <c r="S24" s="8">
        <f>IF(AND($E24&lt;=S$5+6,$F24&gt;=S$5),"■","")</f>
        <v/>
      </c>
      <c r="T24" s="8">
        <f>IF(AND($E24&lt;=T$5+6,$F24&gt;=T$5),"■","")</f>
        <v/>
      </c>
      <c r="U24" s="8">
        <f>IF(AND($E24&lt;=U$5+6,$F24&gt;=U$5),"■","")</f>
        <v/>
      </c>
      <c r="V24" s="8">
        <f>IF(AND($E24&lt;=V$5+6,$F24&gt;=V$5),"■","")</f>
        <v/>
      </c>
      <c r="W24" s="8">
        <f>IF(AND($E24&lt;=W$5+6,$F24&gt;=W$5),"■","")</f>
        <v/>
      </c>
      <c r="X24" s="8">
        <f>IF(AND($E24&lt;=X$5+6,$F24&gt;=X$5),"■","")</f>
        <v/>
      </c>
      <c r="Y24" s="8">
        <f>IF(AND($E24&lt;=Y$5+6,$F24&gt;=Y$5),"■","")</f>
        <v/>
      </c>
      <c r="Z24" s="8">
        <f>IF(AND($E24&lt;=Z$5+6,$F24&gt;=Z$5),"■","")</f>
        <v/>
      </c>
    </row>
    <row r="25" ht="48" customHeight="1">
      <c r="A25" s="5" t="inlineStr">
        <is>
          <t>O02</t>
        </is>
      </c>
      <c r="B25" s="5" t="inlineStr">
        <is>
          <t>试点运营</t>
        </is>
      </c>
      <c r="C25" s="5" t="inlineStr">
        <is>
          <t>复盘/成本/扩展DCP决策</t>
        </is>
      </c>
      <c r="D25" s="5" t="inlineStr">
        <is>
          <t>PDT负责人</t>
        </is>
      </c>
      <c r="E25" s="7" t="n">
        <v>46398</v>
      </c>
      <c r="F25" s="7" t="n">
        <v>46411</v>
      </c>
      <c r="G25" s="5">
        <f>F25-E25+1</f>
        <v/>
      </c>
      <c r="H25" s="6" t="n">
        <v>0.03</v>
      </c>
      <c r="I25" s="6" t="n">
        <v>0</v>
      </c>
      <c r="J25" s="6">
        <f>H25*I25</f>
        <v/>
      </c>
      <c r="K25" s="5" t="inlineStr">
        <is>
          <t>未启动（资源/接入/审批依赖待落实）</t>
        </is>
      </c>
      <c r="L25" s="5" t="inlineStr">
        <is>
          <t>试点报告、剩余风险与下一阶段正式决议</t>
        </is>
      </c>
      <c r="M25" s="8">
        <f>IF(AND($E25&lt;=M$5+6,$F25&gt;=M$5),"■","")</f>
        <v/>
      </c>
      <c r="N25" s="8">
        <f>IF(AND($E25&lt;=N$5+6,$F25&gt;=N$5),"■","")</f>
        <v/>
      </c>
      <c r="O25" s="8">
        <f>IF(AND($E25&lt;=O$5+6,$F25&gt;=O$5),"■","")</f>
        <v/>
      </c>
      <c r="P25" s="8">
        <f>IF(AND($E25&lt;=P$5+6,$F25&gt;=P$5),"■","")</f>
        <v/>
      </c>
      <c r="Q25" s="8">
        <f>IF(AND($E25&lt;=Q$5+6,$F25&gt;=Q$5),"■","")</f>
        <v/>
      </c>
      <c r="R25" s="8">
        <f>IF(AND($E25&lt;=R$5+6,$F25&gt;=R$5),"■","")</f>
        <v/>
      </c>
      <c r="S25" s="8">
        <f>IF(AND($E25&lt;=S$5+6,$F25&gt;=S$5),"■","")</f>
        <v/>
      </c>
      <c r="T25" s="8">
        <f>IF(AND($E25&lt;=T$5+6,$F25&gt;=T$5),"■","")</f>
        <v/>
      </c>
      <c r="U25" s="8">
        <f>IF(AND($E25&lt;=U$5+6,$F25&gt;=U$5),"■","")</f>
        <v/>
      </c>
      <c r="V25" s="8">
        <f>IF(AND($E25&lt;=V$5+6,$F25&gt;=V$5),"■","")</f>
        <v/>
      </c>
      <c r="W25" s="8">
        <f>IF(AND($E25&lt;=W$5+6,$F25&gt;=W$5),"■","")</f>
        <v/>
      </c>
      <c r="X25" s="8">
        <f>IF(AND($E25&lt;=X$5+6,$F25&gt;=X$5),"■","")</f>
        <v/>
      </c>
      <c r="Y25" s="8">
        <f>IF(AND($E25&lt;=Y$5+6,$F25&gt;=Y$5),"■","")</f>
        <v/>
      </c>
      <c r="Z25" s="8">
        <f>IF(AND($E25&lt;=Z$5+6,$F25&gt;=Z$5),"■","")</f>
        <v/>
      </c>
    </row>
    <row r="27">
      <c r="G27" t="inlineStr">
        <is>
          <t>合计</t>
        </is>
      </c>
      <c r="H27" s="9">
        <f>SUM(H6:H25)</f>
        <v/>
      </c>
      <c r="J27" s="9">
        <f>SUM(J6:J25)</f>
        <v/>
      </c>
    </row>
  </sheetData>
  <autoFilter ref="A5:Z25"/>
  <mergeCells count="2">
    <mergeCell ref="A1:Z1"/>
    <mergeCell ref="A2:Z2"/>
  </mergeCells>
  <conditionalFormatting sqref="M6:Z25">
    <cfRule type="expression" priority="1" dxfId="1">
      <formula>AND($B6="需求与立项",$E6&lt;=M$5+6,$F6&gt;=M$5)</formula>
    </cfRule>
    <cfRule type="expression" priority="2" dxfId="2">
      <formula>AND($B6="架构与治理",$E6&lt;=M$5+6,$F6&gt;=M$5)</formula>
    </cfRule>
    <cfRule type="expression" priority="3" dxfId="0">
      <formula>AND($B6="数据采集",$E6&lt;=M$5+6,$F6&gt;=M$5)</formula>
    </cfRule>
    <cfRule type="expression" priority="4" dxfId="3">
      <formula>AND($B6="决策模型",$E6&lt;=M$5+6,$F6&gt;=M$5)</formula>
    </cfRule>
    <cfRule type="expression" priority="5" dxfId="4">
      <formula>AND($B6="用户与干预",$E6&lt;=M$5+6,$F6&gt;=M$5)</formula>
    </cfRule>
    <cfRule type="expression" priority="6" dxfId="5">
      <formula>AND($B6="验证",$E6&lt;=M$5+6,$F6&gt;=M$5)</formula>
    </cfRule>
    <cfRule type="expression" priority="7" dxfId="6">
      <formula>AND($B6="试点运营",$E6&lt;=M$5+6,$F6&gt;=M$5)</formula>
    </cfRule>
  </conditionalFormatting>
  <dataValidations count="1">
    <dataValidation sqref="I6:I25" showDropDown="0" showInputMessage="0" showErrorMessage="1" allowBlank="0" errorTitle="成熟度无效" error="请选择0、0.25、0.5、0.75或1，且保留验收证据。" type="list">
      <formula1>"0,0.25,0.5,0.75,1"</formula1>
    </dataValidation>
  </dataValidations>
  <printOptions horizontalCentered="1"/>
  <pageMargins left="0.75" right="0.75" top="1" bottom="1" header="0.5" footer="0.5"/>
  <pageSetup orientation="landscape" paperSize="8" fitToHeight="1" fitToWidth="1"/>
  <headerFooter>
    <oddHeader/>
    <oddFooter>&amp;CAI＋代谢管理 | 条件性计划 | 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70" customWidth="1" min="3" max="3"/>
    <col width="32" customWidth="1" min="4" max="4"/>
    <col width="14" customWidth="1" min="5" max="5"/>
  </cols>
  <sheetData>
    <row r="1" ht="32" customHeight="1">
      <c r="A1" s="1" t="inlineStr">
        <is>
          <t>IPD里程碑与试点截止</t>
        </is>
      </c>
    </row>
    <row r="2" ht="32" customHeight="1">
      <c r="A2" s="2" t="inlineStr">
        <is>
          <t>里程碑是拟议评审/截止日期，不是已完成记录。实际批准须保留机构与项目决议。</t>
        </is>
      </c>
    </row>
    <row r="5" ht="31" customHeight="1">
      <c r="A5" s="3" t="inlineStr">
        <is>
          <t>里程碑</t>
        </is>
      </c>
      <c r="B5" s="3" t="inlineStr">
        <is>
          <t>目标日期</t>
        </is>
      </c>
      <c r="C5" s="3" t="inlineStr">
        <is>
          <t>决定/条件</t>
        </is>
      </c>
      <c r="D5" s="3" t="inlineStr">
        <is>
          <t>牵头角色</t>
        </is>
      </c>
      <c r="E5" s="3" t="inlineStr">
        <is>
          <t>当前状态</t>
        </is>
      </c>
    </row>
    <row r="6" ht="44" customHeight="1">
      <c r="A6" s="5" t="inlineStr">
        <is>
          <t>DCP1 · 立项</t>
        </is>
      </c>
      <c r="B6" s="10" t="n">
        <v>46327</v>
      </c>
      <c r="C6" s="5" t="inlineStr">
        <is>
          <t>资源、负责人、范围与合法接入路径落实</t>
        </is>
      </c>
      <c r="D6" s="5" t="inlineStr">
        <is>
          <t>IPMT / PDT</t>
        </is>
      </c>
      <c r="E6" s="5" t="inlineStr">
        <is>
          <t>待执行</t>
        </is>
      </c>
    </row>
    <row r="7" ht="44" customHeight="1">
      <c r="A7" s="5" t="inlineStr">
        <is>
          <t>DCP2 · 冻结</t>
        </is>
      </c>
      <c r="B7" s="10" t="n">
        <v>46341</v>
      </c>
      <c r="C7" s="5" t="inlineStr">
        <is>
          <t>方案/PoC/数据用途明确、验收门槛冻结</t>
        </is>
      </c>
      <c r="D7" s="5" t="inlineStr">
        <is>
          <t>IPMT / 技术 / 临床</t>
        </is>
      </c>
      <c r="E7" s="5" t="inlineStr">
        <is>
          <t>待执行</t>
        </is>
      </c>
    </row>
    <row r="8" ht="44" customHeight="1">
      <c r="A8" s="5" t="inlineStr">
        <is>
          <t>DCP3 · 准入</t>
        </is>
      </c>
      <c r="B8" s="10" t="n">
        <v>46383</v>
      </c>
      <c r="C8" s="5" t="inlineStr">
        <is>
          <t>关键缺陷关闭、适用准入与临床运营容量满足</t>
        </is>
      </c>
      <c r="D8" s="5" t="inlineStr">
        <is>
          <t>IPMT / 临床 / QA合规</t>
        </is>
      </c>
      <c r="E8" s="5" t="inlineStr">
        <is>
          <t>待执行</t>
        </is>
      </c>
    </row>
    <row r="9" ht="44" customHeight="1">
      <c r="A9" s="5" t="inlineStr">
        <is>
          <t>试点启动截止</t>
        </is>
      </c>
      <c r="B9" s="10" t="n">
        <v>46397</v>
      </c>
      <c r="C9" s="5" t="inlineStr">
        <is>
          <t>获准首批入组并运行闭环</t>
        </is>
      </c>
      <c r="D9" s="5" t="inlineStr">
        <is>
          <t>运营 / PDT / 临床</t>
        </is>
      </c>
      <c r="E9" s="5" t="inlineStr">
        <is>
          <t>待执行</t>
        </is>
      </c>
    </row>
    <row r="10" ht="44" customHeight="1">
      <c r="A10" s="5" t="inlineStr">
        <is>
          <t>DCP4 · 复盘</t>
        </is>
      </c>
      <c r="B10" s="10" t="n">
        <v>46411</v>
      </c>
      <c r="C10" s="5" t="inlineStr">
        <is>
          <t>基于试点报告决定扩大、延长、调整或停止</t>
        </is>
      </c>
      <c r="D10" s="5" t="inlineStr">
        <is>
          <t>IPMT / PDT / 临床</t>
        </is>
      </c>
      <c r="E10" s="5" t="inlineStr">
        <is>
          <t>待执行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&amp;CAI＋代谢管理 | 条件性计划 | 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42" customHeight="1">
      <c r="A1" s="11" t="inlineStr">
        <is>
          <t>项目甘特图使用说明</t>
        </is>
      </c>
      <c r="B1" s="11" t="inlineStr">
        <is>
          <t>内容</t>
        </is>
      </c>
    </row>
    <row r="2" ht="42" customHeight="1">
      <c r="A2" s="11" t="inlineStr">
        <is>
          <t>来源</t>
        </is>
      </c>
      <c r="B2" s="11" t="inlineStr">
        <is>
          <t>project-design.md v0.2 与 ipd-deliverables.csv；20项任务及所有起止日期保持不变。</t>
        </is>
      </c>
    </row>
    <row r="3" ht="42" customHeight="1">
      <c r="A3" s="11" t="inlineStr">
        <is>
          <t>基线</t>
        </is>
      </c>
      <c r="B3" s="11" t="inlineStr">
        <is>
          <t>2026-10-19启动；2027-01-10前启动试点；2027-01-24首轮复盘。北京时间。</t>
        </is>
      </c>
    </row>
    <row r="4" ht="42" customHeight="1">
      <c r="A4" s="11" t="inlineStr">
        <is>
          <t>计划与实际</t>
        </is>
      </c>
      <c r="B4" s="11" t="inlineStr">
        <is>
          <t>阶段累计完成度为拟议计划；用户确认从零起步，产品实际完成度为0%。</t>
        </is>
      </c>
    </row>
    <row r="5" ht="42" customHeight="1">
      <c r="A5" s="11" t="inlineStr">
        <is>
          <t>如何更新</t>
        </is>
      </c>
      <c r="B5" s="11" t="inlineStr">
        <is>
          <t>编辑阶段/任务表的计划开始、计划完成；周条带与时长公式随Excel重算更新。重新运行build_gantt.py会从WBS恢复基线，覆盖此工作簿及静态图。</t>
        </is>
      </c>
    </row>
    <row r="6" ht="42" customHeight="1">
      <c r="A6" s="11" t="inlineStr">
        <is>
          <t>图的精度</t>
        </is>
      </c>
      <c r="B6" s="11" t="inlineStr">
        <is>
          <t>Excel每格代表一周，任一日与任务相交即填色；PNG/SVG/PDF条长按实际日历天绘制，起止日均计入。</t>
        </is>
      </c>
    </row>
    <row r="7" ht="42" customHeight="1">
      <c r="A7" s="11" t="inlineStr">
        <is>
          <t>成熟度</t>
        </is>
      </c>
      <c r="B7" s="11" t="inlineStr">
        <is>
          <t>0未启动；0.25方案评审；0.5模块验收；0.75集成；1目标场景验收。纯文档采用专属验收状态。</t>
        </is>
      </c>
    </row>
    <row r="8" ht="42" customHeight="1">
      <c r="A8" s="11" t="inlineStr">
        <is>
          <t>贡献计算</t>
        </is>
      </c>
      <c r="B8" s="11" t="inlineStr">
        <is>
          <t>每项贡献=权重×证据成熟度；任务表J27汇总实际完成度。不得把计划百分比填成实际成熟度。</t>
        </is>
      </c>
    </row>
    <row r="9" ht="42" customHeight="1">
      <c r="A9" s="11" t="inlineStr">
        <is>
          <t>Excel重算</t>
        </is>
      </c>
      <c r="B9" s="11" t="inlineStr">
        <is>
          <t>公式不含预计算缓存，首次打开Excel后自动重算；如未显示色条，设置计算选项为自动。</t>
        </is>
      </c>
    </row>
    <row r="10" ht="42" customHeight="1">
      <c r="A10" s="11" t="inlineStr">
        <is>
          <t>时间轴范围</t>
        </is>
      </c>
      <c r="B10" s="11" t="inlineStr">
        <is>
          <t>预置14周。日期超出本基线时，应扩展周列或重新基线化；不会自动生成无限日期列。</t>
        </is>
      </c>
    </row>
    <row r="11" ht="42" customHeight="1">
      <c r="A11" s="11" t="inlineStr">
        <is>
          <t>条件与依赖</t>
        </is>
      </c>
      <c r="B11" s="11" t="inlineStr">
        <is>
          <t>CGM接口/授权、训练数据许可/标签、具名团队及临床复核容量、机构与适用审批是前置条件。模型未达门槛仅离线/影子运行。</t>
        </is>
      </c>
    </row>
    <row r="12" ht="42" customHeight="1">
      <c r="A12" s="11" t="inlineStr">
        <is>
          <t>试点范围</t>
        </is>
      </c>
      <c r="B12" s="11" t="inlineStr">
        <is>
          <t>14周是首轮计划，后入组用户随访可超出结束日期。100%不代表公众上市或疗效证明。</t>
        </is>
      </c>
    </row>
    <row r="13" ht="42" customHeight="1">
      <c r="A13" s="11" t="inlineStr">
        <is>
          <t>关键路径</t>
        </is>
      </c>
      <c r="B13" s="11" t="inlineStr">
        <is>
          <t>当前尚无经确认的资源容量与依赖网络，未进行关键路径法计算。不要把最长条带直接当作已计算关键路径。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2026-10-13T04:44:01Z</dcterms:created>
  <dcterms:modified xmlns:dcterms="http://purl.org/dc/terms/" xmlns:xsi="http://www.w3.org/2001/XMLSchema-instance" xsi:type="dcterms:W3CDTF">2026-10-13T04:44:01Z</dcterms:modified>
</cp:coreProperties>
</file>