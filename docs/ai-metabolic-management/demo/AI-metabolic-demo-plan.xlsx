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时间线" sheetId="1" state="visible" r:id="rId1"/>
    <sheet xmlns:r="http://schemas.openxmlformats.org/officeDocument/2006/relationships" name="角色分工" sheetId="2" state="visible" r:id="rId2"/>
    <sheet xmlns:r="http://schemas.openxmlformats.org/officeDocument/2006/relationships" name="四周计划" sheetId="3" state="visible" r:id="rId3"/>
    <sheet xmlns:r="http://schemas.openxmlformats.org/officeDocument/2006/relationships" name="里程碑" sheetId="4" state="visible" r:id="rId4"/>
    <sheet xmlns:r="http://schemas.openxmlformats.org/officeDocument/2006/relationships" name="使用说明" sheetId="5" state="visible" r:id="rId5"/>
  </sheets>
  <definedNames>
    <definedName name="_xlnm._FilterDatabase" localSheetId="0" hidden="1">'任务时间线'!$A$5:$P$21</definedName>
    <definedName name="_xlnm.Print_Titles" localSheetId="0">'任务时间线'!$1:$5</definedName>
    <definedName name="_xlnm.Print_Area" localSheetId="0">'任务时间线'!$A$1:$P$23</definedName>
    <definedName name="_xlnm.Print_Area" localSheetId="1">'角色分工'!$A$1:$E$10</definedName>
    <definedName name="_xlnm.Print_Area" localSheetId="2">'四周计划'!$A$1:$F$9</definedName>
    <definedName name="_xlnm.Print_Area" localSheetId="3">'里程碑'!$A$1:$D$10</definedName>
    <definedName name="_xlnm.Print_Area" localSheetId="4">'使用说明'!$A$1:$B$10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-dd"/>
  </numFmts>
  <fonts count="5">
    <font>
      <name val="Calibri"/>
      <family val="2"/>
      <color theme="1"/>
      <sz val="11"/>
      <scheme val="minor"/>
    </font>
    <font>
      <name val="Microsoft YaHei"/>
      <b val="1"/>
      <color rgb="00132E43"/>
      <sz val="18"/>
    </font>
    <font>
      <name val="Microsoft YaHei"/>
      <color rgb="00132E43"/>
      <sz val="10"/>
    </font>
    <font>
      <name val="Microsoft YaHei"/>
      <b val="1"/>
      <color rgb="00FFFFFF"/>
      <sz val="10"/>
    </font>
    <font>
      <name val="Arial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32E43"/>
      </patternFill>
    </fill>
    <fill>
      <patternFill patternType="solid">
        <fgColor rgb="00E5F3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5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vertical="center" wrapText="1"/>
    </xf>
    <xf numFmtId="9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244F70"/>
        </patternFill>
      </fill>
    </dxf>
    <dxf>
      <fill>
        <patternFill patternType="solid">
          <fgColor rgb="00087F8C"/>
        </patternFill>
      </fill>
    </dxf>
    <dxf>
      <fill>
        <patternFill patternType="solid">
          <fgColor rgb="00269E9B"/>
        </patternFill>
      </fill>
    </dxf>
    <dxf>
      <fill>
        <patternFill patternType="solid">
          <fgColor rgb="00596C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showGridLines="0" workbookViewId="0">
      <pane xSplit="12" ySplit="5" topLeftCell="M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27" customWidth="1" min="4" max="4"/>
    <col width="14" customWidth="1" min="5" max="5"/>
    <col width="14" customWidth="1" min="6" max="6"/>
    <col width="8" customWidth="1" min="7" max="7"/>
    <col width="9" customWidth="1" min="8" max="8"/>
    <col width="13" customWidth="1" min="9" max="9"/>
    <col width="13" customWidth="1" min="10" max="10"/>
    <col width="29" customWidth="1" min="11" max="11"/>
    <col width="6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34" customHeight="1">
      <c r="A1" s="1" t="inlineStr">
        <is>
          <t>AI＋代谢Demo｜时间线与任务分配</t>
        </is>
      </c>
    </row>
    <row r="2" ht="32" customHeight="1">
      <c r="A2" s="2" t="inlineStr">
        <is>
          <t>2026-10-19～11-15，共4周；16项任务。负责人待具名，实际实现进度从0%起。</t>
        </is>
      </c>
    </row>
    <row r="3"/>
    <row r="4">
      <c r="M4" s="3" t="n">
        <v>46314</v>
      </c>
      <c r="N4" s="3" t="n">
        <v>46321</v>
      </c>
      <c r="O4" s="3" t="n">
        <v>46328</v>
      </c>
      <c r="P4" s="3" t="n">
        <v>46335</v>
      </c>
    </row>
    <row r="5" ht="32" customHeight="1">
      <c r="A5" s="4" t="inlineStr">
        <is>
          <t>ID</t>
        </is>
      </c>
      <c r="B5" s="4" t="inlineStr">
        <is>
          <t>任务</t>
        </is>
      </c>
      <c r="C5" s="4" t="inlineStr">
        <is>
          <t>主责角色</t>
        </is>
      </c>
      <c r="D5" s="4" t="inlineStr">
        <is>
          <t>协作角色</t>
        </is>
      </c>
      <c r="E5" s="4" t="inlineStr">
        <is>
          <t>计划开始</t>
        </is>
      </c>
      <c r="F5" s="4" t="inlineStr">
        <is>
          <t>计划完成</t>
        </is>
      </c>
      <c r="G5" s="4" t="inlineStr">
        <is>
          <t>天数</t>
        </is>
      </c>
      <c r="H5" s="4" t="inlineStr">
        <is>
          <t>权重</t>
        </is>
      </c>
      <c r="I5" s="4" t="inlineStr">
        <is>
          <t>证据成熟度</t>
        </is>
      </c>
      <c r="J5" s="4" t="inlineStr">
        <is>
          <t>实际贡献</t>
        </is>
      </c>
      <c r="K5" s="4" t="inlineStr">
        <is>
          <t>依赖</t>
        </is>
      </c>
      <c r="L5" s="4" t="inlineStr">
        <is>
          <t>验收证据</t>
        </is>
      </c>
      <c r="M5" s="4" t="inlineStr">
        <is>
          <t>W1</t>
        </is>
      </c>
      <c r="N5" s="4" t="inlineStr">
        <is>
          <t>W2</t>
        </is>
      </c>
      <c r="O5" s="4" t="inlineStr">
        <is>
          <t>W3</t>
        </is>
      </c>
      <c r="P5" s="4" t="inlineStr">
        <is>
          <t>W4</t>
        </is>
      </c>
    </row>
    <row r="6" ht="44" customHeight="1">
      <c r="A6" s="2" t="inlineStr">
        <is>
          <t>D01</t>
        </is>
      </c>
      <c r="B6" s="2" t="inlineStr">
        <is>
          <t>场景范围与演示主线</t>
        </is>
      </c>
      <c r="C6" s="2" t="inlineStr">
        <is>
          <t>产品</t>
        </is>
      </c>
      <c r="D6" s="2" t="inlineStr">
        <is>
          <t>全员</t>
        </is>
      </c>
      <c r="E6" s="5" t="n">
        <v>46314</v>
      </c>
      <c r="F6" s="5" t="n">
        <v>46315</v>
      </c>
      <c r="G6" s="2">
        <f>F6-E6+1</f>
        <v/>
      </c>
      <c r="H6" s="6" t="n">
        <v>0.05</v>
      </c>
      <c r="I6" s="6" t="n">
        <v>0</v>
      </c>
      <c r="J6" s="6">
        <f>H6*I6</f>
        <v/>
      </c>
      <c r="K6" s="2" t="inlineStr">
        <is>
          <t>无</t>
        </is>
      </c>
      <c r="L6" s="2" t="inlineStr">
        <is>
          <t>一个场景六步主线及范围清单</t>
        </is>
      </c>
      <c r="M6" s="7">
        <f>IF(AND($E6&lt;=M$4+6,$F6&gt;=M$4),"■","")</f>
        <v/>
      </c>
      <c r="N6" s="7">
        <f>IF(AND($E6&lt;=N$4+6,$F6&gt;=N$4),"■","")</f>
        <v/>
      </c>
      <c r="O6" s="7">
        <f>IF(AND($E6&lt;=O$4+6,$F6&gt;=O$4),"■","")</f>
        <v/>
      </c>
      <c r="P6" s="7">
        <f>IF(AND($E6&lt;=P$4+6,$F6&gt;=P$4),"■","")</f>
        <v/>
      </c>
    </row>
    <row r="7" ht="44" customHeight="1">
      <c r="A7" s="2" t="inlineStr">
        <is>
          <t>D02</t>
        </is>
      </c>
      <c r="B7" s="2" t="inlineStr">
        <is>
          <t>内置样本与CSV规范</t>
        </is>
      </c>
      <c r="C7" s="2" t="inlineStr">
        <is>
          <t>后端/数据</t>
        </is>
      </c>
      <c r="D7" s="2" t="inlineStr">
        <is>
          <t>产品</t>
        </is>
      </c>
      <c r="E7" s="5" t="n">
        <v>46314</v>
      </c>
      <c r="F7" s="5" t="n">
        <v>46316</v>
      </c>
      <c r="G7" s="2">
        <f>F7-E7+1</f>
        <v/>
      </c>
      <c r="H7" s="6" t="n">
        <v>0.05</v>
      </c>
      <c r="I7" s="6" t="n">
        <v>0</v>
      </c>
      <c r="J7" s="6">
        <f>H7*I7</f>
        <v/>
      </c>
      <c r="K7" s="2" t="inlineStr">
        <is>
          <t>无</t>
        </is>
      </c>
      <c r="L7" s="2" t="inlineStr">
        <is>
          <t>样本可读且来源单位时区明确</t>
        </is>
      </c>
      <c r="M7" s="7">
        <f>IF(AND($E7&lt;=M$4+6,$F7&gt;=M$4),"■","")</f>
        <v/>
      </c>
      <c r="N7" s="7">
        <f>IF(AND($E7&lt;=N$4+6,$F7&gt;=N$4),"■","")</f>
        <v/>
      </c>
      <c r="O7" s="7">
        <f>IF(AND($E7&lt;=O$4+6,$F7&gt;=O$4),"■","")</f>
        <v/>
      </c>
      <c r="P7" s="7">
        <f>IF(AND($E7&lt;=P$4+6,$F7&gt;=P$4),"■","")</f>
        <v/>
      </c>
    </row>
    <row r="8" ht="44" customHeight="1">
      <c r="A8" s="2" t="inlineStr">
        <is>
          <t>D03</t>
        </is>
      </c>
      <c r="B8" s="2" t="inlineStr">
        <is>
          <t>架构字段与API契约</t>
        </is>
      </c>
      <c r="C8" s="2" t="inlineStr">
        <is>
          <t>后端/数据</t>
        </is>
      </c>
      <c r="D8" s="2" t="inlineStr">
        <is>
          <t>前端＋AI</t>
        </is>
      </c>
      <c r="E8" s="5" t="n">
        <v>46316</v>
      </c>
      <c r="F8" s="5" t="n">
        <v>46318</v>
      </c>
      <c r="G8" s="2">
        <f>F8-E8+1</f>
        <v/>
      </c>
      <c r="H8" s="6" t="n">
        <v>0.05</v>
      </c>
      <c r="I8" s="6" t="n">
        <v>0</v>
      </c>
      <c r="J8" s="6">
        <f>H8*I8</f>
        <v/>
      </c>
      <c r="K8" s="2" t="inlineStr">
        <is>
          <t>D01(FS)</t>
        </is>
      </c>
      <c r="L8" s="2" t="inlineStr">
        <is>
          <t>接口与字段契约可支持并行开发</t>
        </is>
      </c>
      <c r="M8" s="7">
        <f>IF(AND($E8&lt;=M$4+6,$F8&gt;=M$4),"■","")</f>
        <v/>
      </c>
      <c r="N8" s="7">
        <f>IF(AND($E8&lt;=N$4+6,$F8&gt;=N$4),"■","")</f>
        <v/>
      </c>
      <c r="O8" s="7">
        <f>IF(AND($E8&lt;=O$4+6,$F8&gt;=O$4),"■","")</f>
        <v/>
      </c>
      <c r="P8" s="7">
        <f>IF(AND($E8&lt;=P$4+6,$F8&gt;=P$4),"■","")</f>
        <v/>
      </c>
    </row>
    <row r="9" ht="44" customHeight="1">
      <c r="A9" s="2" t="inlineStr">
        <is>
          <t>D04</t>
        </is>
      </c>
      <c r="B9" s="2" t="inlineStr">
        <is>
          <t>患者与模拟医生原型</t>
        </is>
      </c>
      <c r="C9" s="2" t="inlineStr">
        <is>
          <t>前端</t>
        </is>
      </c>
      <c r="D9" s="2" t="inlineStr">
        <is>
          <t>产品</t>
        </is>
      </c>
      <c r="E9" s="5" t="n">
        <v>46316</v>
      </c>
      <c r="F9" s="5" t="n">
        <v>46318</v>
      </c>
      <c r="G9" s="2">
        <f>F9-E9+1</f>
        <v/>
      </c>
      <c r="H9" s="6" t="n">
        <v>0.05</v>
      </c>
      <c r="I9" s="6" t="n">
        <v>0</v>
      </c>
      <c r="J9" s="6">
        <f>H9*I9</f>
        <v/>
      </c>
      <c r="K9" s="2" t="inlineStr">
        <is>
          <t>D01(FS)</t>
        </is>
      </c>
      <c r="L9" s="2" t="inlineStr">
        <is>
          <t>两视图主路径走查通过</t>
        </is>
      </c>
      <c r="M9" s="7">
        <f>IF(AND($E9&lt;=M$4+6,$F9&gt;=M$4),"■","")</f>
        <v/>
      </c>
      <c r="N9" s="7">
        <f>IF(AND($E9&lt;=N$4+6,$F9&gt;=N$4),"■","")</f>
        <v/>
      </c>
      <c r="O9" s="7">
        <f>IF(AND($E9&lt;=O$4+6,$F9&gt;=O$4),"■","")</f>
        <v/>
      </c>
      <c r="P9" s="7">
        <f>IF(AND($E9&lt;=P$4+6,$F9&gt;=P$4),"■","")</f>
        <v/>
      </c>
    </row>
    <row r="10" ht="44" customHeight="1">
      <c r="A10" s="2" t="inlineStr">
        <is>
          <t>D05</t>
        </is>
      </c>
      <c r="B10" s="2" t="inlineStr">
        <is>
          <t>导入校验与存储</t>
        </is>
      </c>
      <c r="C10" s="2" t="inlineStr">
        <is>
          <t>后端/数据</t>
        </is>
      </c>
      <c r="D10" s="2" t="inlineStr">
        <is>
          <t>前端</t>
        </is>
      </c>
      <c r="E10" s="5" t="n">
        <v>46321</v>
      </c>
      <c r="F10" s="5" t="n">
        <v>46323</v>
      </c>
      <c r="G10" s="2">
        <f>F10-E10+1</f>
        <v/>
      </c>
      <c r="H10" s="6" t="n">
        <v>0.08</v>
      </c>
      <c r="I10" s="6" t="n">
        <v>0</v>
      </c>
      <c r="J10" s="6">
        <f>H10*I10</f>
        <v/>
      </c>
      <c r="K10" s="2" t="inlineStr">
        <is>
          <t>D02/D03(FS)</t>
        </is>
      </c>
      <c r="L10" s="2" t="inlineStr">
        <is>
          <t>样本CSV落库且错误可见</t>
        </is>
      </c>
      <c r="M10" s="7">
        <f>IF(AND($E10&lt;=M$4+6,$F10&gt;=M$4),"■","")</f>
        <v/>
      </c>
      <c r="N10" s="7">
        <f>IF(AND($E10&lt;=N$4+6,$F10&gt;=N$4),"■","")</f>
        <v/>
      </c>
      <c r="O10" s="7">
        <f>IF(AND($E10&lt;=O$4+6,$F10&gt;=O$4),"■","")</f>
        <v/>
      </c>
      <c r="P10" s="7">
        <f>IF(AND($E10&lt;=P$4+6,$F10&gt;=P$4),"■","")</f>
        <v/>
      </c>
    </row>
    <row r="11" ht="44" customHeight="1">
      <c r="A11" s="2" t="inlineStr">
        <is>
          <t>D06</t>
        </is>
      </c>
      <c r="B11" s="2" t="inlineStr">
        <is>
          <t>曲线与数据质量展示</t>
        </is>
      </c>
      <c r="C11" s="2" t="inlineStr">
        <is>
          <t>前端</t>
        </is>
      </c>
      <c r="D11" s="2" t="inlineStr">
        <is>
          <t>后端/数据</t>
        </is>
      </c>
      <c r="E11" s="5" t="n">
        <v>46321</v>
      </c>
      <c r="F11" s="5" t="n">
        <v>46324</v>
      </c>
      <c r="G11" s="2">
        <f>F11-E11+1</f>
        <v/>
      </c>
      <c r="H11" s="6" t="n">
        <v>0.07000000000000001</v>
      </c>
      <c r="I11" s="6" t="n">
        <v>0</v>
      </c>
      <c r="J11" s="6">
        <f>H11*I11</f>
        <v/>
      </c>
      <c r="K11" s="2" t="inlineStr">
        <is>
          <t>D04(FS);D05(SS)</t>
        </is>
      </c>
      <c r="L11" s="2" t="inlineStr">
        <is>
          <t>时间单位缺失提示正确</t>
        </is>
      </c>
      <c r="M11" s="7">
        <f>IF(AND($E11&lt;=M$4+6,$F11&gt;=M$4),"■","")</f>
        <v/>
      </c>
      <c r="N11" s="7">
        <f>IF(AND($E11&lt;=N$4+6,$F11&gt;=N$4),"■","")</f>
        <v/>
      </c>
      <c r="O11" s="7">
        <f>IF(AND($E11&lt;=O$4+6,$F11&gt;=O$4),"■","")</f>
        <v/>
      </c>
      <c r="P11" s="7">
        <f>IF(AND($E11&lt;=P$4+6,$F11&gt;=P$4),"■","")</f>
        <v/>
      </c>
    </row>
    <row r="12" ht="44" customHeight="1">
      <c r="A12" s="2" t="inlineStr">
        <is>
          <t>D07</t>
        </is>
      </c>
      <c r="B12" s="2" t="inlineStr">
        <is>
          <t>统计与画像服务</t>
        </is>
      </c>
      <c r="C12" s="2" t="inlineStr">
        <is>
          <t>后端/数据</t>
        </is>
      </c>
      <c r="D12" s="2" t="inlineStr">
        <is>
          <t>AI</t>
        </is>
      </c>
      <c r="E12" s="5" t="n">
        <v>46321</v>
      </c>
      <c r="F12" s="5" t="n">
        <v>46324</v>
      </c>
      <c r="G12" s="2">
        <f>F12-E12+1</f>
        <v/>
      </c>
      <c r="H12" s="6" t="n">
        <v>0.08</v>
      </c>
      <c r="I12" s="6" t="n">
        <v>0</v>
      </c>
      <c r="J12" s="6">
        <f>H12*I12</f>
        <v/>
      </c>
      <c r="K12" s="2" t="inlineStr">
        <is>
          <t>D02/D03(FS);D05(SS)</t>
        </is>
      </c>
      <c r="L12" s="2" t="inlineStr">
        <is>
          <t>统计可重复且证据信息缺口可追溯</t>
        </is>
      </c>
      <c r="M12" s="7">
        <f>IF(AND($E12&lt;=M$4+6,$F12&gt;=M$4),"■","")</f>
        <v/>
      </c>
      <c r="N12" s="7">
        <f>IF(AND($E12&lt;=N$4+6,$F12&gt;=N$4),"■","")</f>
        <v/>
      </c>
      <c r="O12" s="7">
        <f>IF(AND($E12&lt;=O$4+6,$F12&gt;=O$4),"■","")</f>
        <v/>
      </c>
      <c r="P12" s="7">
        <f>IF(AND($E12&lt;=P$4+6,$F12&gt;=P$4),"■","")</f>
        <v/>
      </c>
    </row>
    <row r="13" ht="44" customHeight="1">
      <c r="A13" s="2" t="inlineStr">
        <is>
          <t>D08</t>
        </is>
      </c>
      <c r="B13" s="2" t="inlineStr">
        <is>
          <t>画像与解读页面</t>
        </is>
      </c>
      <c r="C13" s="2" t="inlineStr">
        <is>
          <t>前端</t>
        </is>
      </c>
      <c r="D13" s="2" t="inlineStr">
        <is>
          <t>AI＋后端/数据</t>
        </is>
      </c>
      <c r="E13" s="5" t="n">
        <v>46323</v>
      </c>
      <c r="F13" s="5" t="n">
        <v>46325</v>
      </c>
      <c r="G13" s="2">
        <f>F13-E13+1</f>
        <v/>
      </c>
      <c r="H13" s="6" t="n">
        <v>0.06</v>
      </c>
      <c r="I13" s="6" t="n">
        <v>0</v>
      </c>
      <c r="J13" s="6">
        <f>H13*I13</f>
        <v/>
      </c>
      <c r="K13" s="2" t="inlineStr">
        <is>
          <t>D06/D07(SS)</t>
        </is>
      </c>
      <c r="L13" s="2" t="inlineStr">
        <is>
          <t>事实解释和限制分别呈现</t>
        </is>
      </c>
      <c r="M13" s="7">
        <f>IF(AND($E13&lt;=M$4+6,$F13&gt;=M$4),"■","")</f>
        <v/>
      </c>
      <c r="N13" s="7">
        <f>IF(AND($E13&lt;=N$4+6,$F13&gt;=N$4),"■","")</f>
        <v/>
      </c>
      <c r="O13" s="7">
        <f>IF(AND($E13&lt;=O$4+6,$F13&gt;=O$4),"■","")</f>
        <v/>
      </c>
      <c r="P13" s="7">
        <f>IF(AND($E13&lt;=P$4+6,$F13&gt;=P$4),"■","")</f>
        <v/>
      </c>
    </row>
    <row r="14" ht="44" customHeight="1">
      <c r="A14" s="2" t="inlineStr">
        <is>
          <t>D09</t>
        </is>
      </c>
      <c r="B14" s="2" t="inlineStr">
        <is>
          <t>解释适配器与降级</t>
        </is>
      </c>
      <c r="C14" s="2" t="inlineStr">
        <is>
          <t>AI</t>
        </is>
      </c>
      <c r="D14" s="2" t="inlineStr">
        <is>
          <t>后端/数据</t>
        </is>
      </c>
      <c r="E14" s="5" t="n">
        <v>46321</v>
      </c>
      <c r="F14" s="5" t="n">
        <v>46325</v>
      </c>
      <c r="G14" s="2">
        <f>F14-E14+1</f>
        <v/>
      </c>
      <c r="H14" s="6" t="n">
        <v>0.08</v>
      </c>
      <c r="I14" s="6" t="n">
        <v>0</v>
      </c>
      <c r="J14" s="6">
        <f>H14*I14</f>
        <v/>
      </c>
      <c r="K14" s="2" t="inlineStr">
        <is>
          <t>D03(FS);D07(SS)</t>
        </is>
      </c>
      <c r="L14" s="2" t="inlineStr">
        <is>
          <t>无密钥模板可运行且模式明示</t>
        </is>
      </c>
      <c r="M14" s="7">
        <f>IF(AND($E14&lt;=M$4+6,$F14&gt;=M$4),"■","")</f>
        <v/>
      </c>
      <c r="N14" s="7">
        <f>IF(AND($E14&lt;=N$4+6,$F14&gt;=N$4),"■","")</f>
        <v/>
      </c>
      <c r="O14" s="7">
        <f>IF(AND($E14&lt;=O$4+6,$F14&gt;=O$4),"■","")</f>
        <v/>
      </c>
      <c r="P14" s="7">
        <f>IF(AND($E14&lt;=P$4+6,$F14&gt;=P$4),"■","")</f>
        <v/>
      </c>
    </row>
    <row r="15" ht="44" customHeight="1">
      <c r="A15" s="2" t="inlineStr">
        <is>
          <t>D10</t>
        </is>
      </c>
      <c r="B15" s="2" t="inlineStr">
        <is>
          <t>饮食活动角色与建议合并</t>
        </is>
      </c>
      <c r="C15" s="2" t="inlineStr">
        <is>
          <t>AI</t>
        </is>
      </c>
      <c r="D15" s="2" t="inlineStr">
        <is>
          <t>产品＋临床顾问</t>
        </is>
      </c>
      <c r="E15" s="5" t="n">
        <v>46328</v>
      </c>
      <c r="F15" s="5" t="n">
        <v>46330</v>
      </c>
      <c r="G15" s="2">
        <f>F15-E15+1</f>
        <v/>
      </c>
      <c r="H15" s="6" t="n">
        <v>0.08</v>
      </c>
      <c r="I15" s="6" t="n">
        <v>0</v>
      </c>
      <c r="J15" s="6">
        <f>H15*I15</f>
        <v/>
      </c>
      <c r="K15" s="2" t="inlineStr">
        <is>
          <t>D09(FS)</t>
        </is>
      </c>
      <c r="L15" s="2" t="inlineStr">
        <is>
          <t>两角色候选有依据范围检查和冲突处理</t>
        </is>
      </c>
      <c r="M15" s="7">
        <f>IF(AND($E15&lt;=M$4+6,$F15&gt;=M$4),"■","")</f>
        <v/>
      </c>
      <c r="N15" s="7">
        <f>IF(AND($E15&lt;=N$4+6,$F15&gt;=N$4),"■","")</f>
        <v/>
      </c>
      <c r="O15" s="7">
        <f>IF(AND($E15&lt;=O$4+6,$F15&gt;=O$4),"■","")</f>
        <v/>
      </c>
      <c r="P15" s="7">
        <f>IF(AND($E15&lt;=P$4+6,$F15&gt;=P$4),"■","")</f>
        <v/>
      </c>
    </row>
    <row r="16" ht="44" customHeight="1">
      <c r="A16" s="2" t="inlineStr">
        <is>
          <t>D11</t>
        </is>
      </c>
      <c r="B16" s="2" t="inlineStr">
        <is>
          <t>建议审核状态与API</t>
        </is>
      </c>
      <c r="C16" s="2" t="inlineStr">
        <is>
          <t>后端/数据</t>
        </is>
      </c>
      <c r="D16" s="2" t="inlineStr">
        <is>
          <t>AI＋前端</t>
        </is>
      </c>
      <c r="E16" s="5" t="n">
        <v>46328</v>
      </c>
      <c r="F16" s="5" t="n">
        <v>46330</v>
      </c>
      <c r="G16" s="2">
        <f>F16-E16+1</f>
        <v/>
      </c>
      <c r="H16" s="6" t="n">
        <v>0.06</v>
      </c>
      <c r="I16" s="6" t="n">
        <v>0</v>
      </c>
      <c r="J16" s="6">
        <f>H16*I16</f>
        <v/>
      </c>
      <c r="K16" s="2" t="inlineStr">
        <is>
          <t>D05(FS);D10(SS)</t>
        </is>
      </c>
      <c r="L16" s="2" t="inlineStr">
        <is>
          <t>草稿拒绝过期建议不得投递</t>
        </is>
      </c>
      <c r="M16" s="7">
        <f>IF(AND($E16&lt;=M$4+6,$F16&gt;=M$4),"■","")</f>
        <v/>
      </c>
      <c r="N16" s="7">
        <f>IF(AND($E16&lt;=N$4+6,$F16&gt;=N$4),"■","")</f>
        <v/>
      </c>
      <c r="O16" s="7">
        <f>IF(AND($E16&lt;=O$4+6,$F16&gt;=O$4),"■","")</f>
        <v/>
      </c>
      <c r="P16" s="7">
        <f>IF(AND($E16&lt;=P$4+6,$F16&gt;=P$4),"■","")</f>
        <v/>
      </c>
    </row>
    <row r="17" ht="44" customHeight="1">
      <c r="A17" s="2" t="inlineStr">
        <is>
          <t>D12</t>
        </is>
      </c>
      <c r="B17" s="2" t="inlineStr">
        <is>
          <t>模拟审核与反馈页面</t>
        </is>
      </c>
      <c r="C17" s="2" t="inlineStr">
        <is>
          <t>前端</t>
        </is>
      </c>
      <c r="D17" s="2" t="inlineStr">
        <is>
          <t>后端/数据</t>
        </is>
      </c>
      <c r="E17" s="5" t="n">
        <v>46328</v>
      </c>
      <c r="F17" s="5" t="n">
        <v>46331</v>
      </c>
      <c r="G17" s="2">
        <f>F17-E17+1</f>
        <v/>
      </c>
      <c r="H17" s="6" t="n">
        <v>0.07000000000000001</v>
      </c>
      <c r="I17" s="6" t="n">
        <v>0</v>
      </c>
      <c r="J17" s="6">
        <f>H17*I17</f>
        <v/>
      </c>
      <c r="K17" s="2" t="inlineStr">
        <is>
          <t>D08(FS);D11(SS)</t>
        </is>
      </c>
      <c r="L17" s="2" t="inlineStr">
        <is>
          <t>批准编辑拒绝及用户反馈可回放</t>
        </is>
      </c>
      <c r="M17" s="7">
        <f>IF(AND($E17&lt;=M$4+6,$F17&gt;=M$4),"■","")</f>
        <v/>
      </c>
      <c r="N17" s="7">
        <f>IF(AND($E17&lt;=N$4+6,$F17&gt;=N$4),"■","")</f>
        <v/>
      </c>
      <c r="O17" s="7">
        <f>IF(AND($E17&lt;=O$4+6,$F17&gt;=O$4),"■","")</f>
        <v/>
      </c>
      <c r="P17" s="7">
        <f>IF(AND($E17&lt;=P$4+6,$F17&gt;=P$4),"■","")</f>
        <v/>
      </c>
    </row>
    <row r="18" ht="44" customHeight="1">
      <c r="A18" s="2" t="inlineStr">
        <is>
          <t>D13</t>
        </is>
      </c>
      <c r="B18" s="2" t="inlineStr">
        <is>
          <t>内容与范围复核</t>
        </is>
      </c>
      <c r="C18" s="2" t="inlineStr">
        <is>
          <t>产品</t>
        </is>
      </c>
      <c r="D18" s="2" t="inlineStr">
        <is>
          <t>临床顾问＋AI</t>
        </is>
      </c>
      <c r="E18" s="5" t="n">
        <v>46328</v>
      </c>
      <c r="F18" s="5" t="n">
        <v>46331</v>
      </c>
      <c r="G18" s="2">
        <f>F18-E18+1</f>
        <v/>
      </c>
      <c r="H18" s="6" t="n">
        <v>0.04</v>
      </c>
      <c r="I18" s="6" t="n">
        <v>0</v>
      </c>
      <c r="J18" s="6">
        <f>H18*I18</f>
        <v/>
      </c>
      <c r="K18" s="2" t="inlineStr">
        <is>
          <t>D09(FS);D10(SS)</t>
        </is>
      </c>
      <c r="L18" s="2" t="inlineStr">
        <is>
          <t>演示内容适用且模式限制可见</t>
        </is>
      </c>
      <c r="M18" s="7">
        <f>IF(AND($E18&lt;=M$4+6,$F18&gt;=M$4),"■","")</f>
        <v/>
      </c>
      <c r="N18" s="7">
        <f>IF(AND($E18&lt;=N$4+6,$F18&gt;=N$4),"■","")</f>
        <v/>
      </c>
      <c r="O18" s="7">
        <f>IF(AND($E18&lt;=O$4+6,$F18&gt;=O$4),"■","")</f>
        <v/>
      </c>
      <c r="P18" s="7">
        <f>IF(AND($E18&lt;=P$4+6,$F18&gt;=P$4),"■","")</f>
        <v/>
      </c>
    </row>
    <row r="19" ht="44" customHeight="1">
      <c r="A19" s="2" t="inlineStr">
        <is>
          <t>D14</t>
        </is>
      </c>
      <c r="B19" s="2" t="inlineStr">
        <is>
          <t>端到端集成与问题修复</t>
        </is>
      </c>
      <c r="C19" s="2" t="inlineStr">
        <is>
          <t>后端/数据</t>
        </is>
      </c>
      <c r="D19" s="2" t="inlineStr">
        <is>
          <t>全员</t>
        </is>
      </c>
      <c r="E19" s="5" t="n">
        <v>46332</v>
      </c>
      <c r="F19" s="5" t="n">
        <v>46336</v>
      </c>
      <c r="G19" s="2">
        <f>F19-E19+1</f>
        <v/>
      </c>
      <c r="H19" s="6" t="n">
        <v>0.07000000000000001</v>
      </c>
      <c r="I19" s="6" t="n">
        <v>0</v>
      </c>
      <c r="J19" s="6">
        <f>H19*I19</f>
        <v/>
      </c>
      <c r="K19" s="2" t="inlineStr">
        <is>
          <t>D10/D11/D12/D13(FS)</t>
        </is>
      </c>
      <c r="L19" s="2" t="inlineStr">
        <is>
          <t>从样本到审核与反馈完整走通</t>
        </is>
      </c>
      <c r="M19" s="7">
        <f>IF(AND($E19&lt;=M$4+6,$F19&gt;=M$4),"■","")</f>
        <v/>
      </c>
      <c r="N19" s="7">
        <f>IF(AND($E19&lt;=N$4+6,$F19&gt;=N$4),"■","")</f>
        <v/>
      </c>
      <c r="O19" s="7">
        <f>IF(AND($E19&lt;=O$4+6,$F19&gt;=O$4),"■","")</f>
        <v/>
      </c>
      <c r="P19" s="7">
        <f>IF(AND($E19&lt;=P$4+6,$F19&gt;=P$4),"■","")</f>
        <v/>
      </c>
    </row>
    <row r="20" ht="44" customHeight="1">
      <c r="A20" s="2" t="inlineStr">
        <is>
          <t>D15</t>
        </is>
      </c>
      <c r="B20" s="2" t="inlineStr">
        <is>
          <t>演示验收与异常测试</t>
        </is>
      </c>
      <c r="C20" s="2" t="inlineStr">
        <is>
          <t>产品</t>
        </is>
      </c>
      <c r="D20" s="2" t="inlineStr">
        <is>
          <t>前端＋后端/数据＋AI</t>
        </is>
      </c>
      <c r="E20" s="5" t="n">
        <v>46335</v>
      </c>
      <c r="F20" s="5" t="n">
        <v>46338</v>
      </c>
      <c r="G20" s="2">
        <f>F20-E20+1</f>
        <v/>
      </c>
      <c r="H20" s="6" t="n">
        <v>0.06</v>
      </c>
      <c r="I20" s="6" t="n">
        <v>0</v>
      </c>
      <c r="J20" s="6">
        <f>H20*I20</f>
        <v/>
      </c>
      <c r="K20" s="2" t="inlineStr">
        <is>
          <t>D14(SS)</t>
        </is>
      </c>
      <c r="L20" s="2" t="inlineStr">
        <is>
          <t>主路径错误导入缺失及AI降级通过</t>
        </is>
      </c>
      <c r="M20" s="7">
        <f>IF(AND($E20&lt;=M$4+6,$F20&gt;=M$4),"■","")</f>
        <v/>
      </c>
      <c r="N20" s="7">
        <f>IF(AND($E20&lt;=N$4+6,$F20&gt;=N$4),"■","")</f>
        <v/>
      </c>
      <c r="O20" s="7">
        <f>IF(AND($E20&lt;=O$4+6,$F20&gt;=O$4),"■","")</f>
        <v/>
      </c>
      <c r="P20" s="7">
        <f>IF(AND($E20&lt;=P$4+6,$F20&gt;=P$4),"■","")</f>
        <v/>
      </c>
    </row>
    <row r="21" ht="44" customHeight="1">
      <c r="A21" s="2" t="inlineStr">
        <is>
          <t>D16</t>
        </is>
      </c>
      <c r="B21" s="2" t="inlineStr">
        <is>
          <t>演示部署脚本与交接</t>
        </is>
      </c>
      <c r="C21" s="2" t="inlineStr">
        <is>
          <t>后端/数据</t>
        </is>
      </c>
      <c r="D21" s="2" t="inlineStr">
        <is>
          <t>产品＋全员</t>
        </is>
      </c>
      <c r="E21" s="5" t="n">
        <v>46339</v>
      </c>
      <c r="F21" s="5" t="n">
        <v>46341</v>
      </c>
      <c r="G21" s="2">
        <f>F21-E21+1</f>
        <v/>
      </c>
      <c r="H21" s="6" t="n">
        <v>0.05</v>
      </c>
      <c r="I21" s="6" t="n">
        <v>0</v>
      </c>
      <c r="J21" s="6">
        <f>H21*I21</f>
        <v/>
      </c>
      <c r="K21" s="2" t="inlineStr">
        <is>
          <t>D14/D15(FS)</t>
        </is>
      </c>
      <c r="L21" s="2" t="inlineStr">
        <is>
          <t>可启动重置并按脚本重复演示</t>
        </is>
      </c>
      <c r="M21" s="7">
        <f>IF(AND($E21&lt;=M$4+6,$F21&gt;=M$4),"■","")</f>
        <v/>
      </c>
      <c r="N21" s="7">
        <f>IF(AND($E21&lt;=N$4+6,$F21&gt;=N$4),"■","")</f>
        <v/>
      </c>
      <c r="O21" s="7">
        <f>IF(AND($E21&lt;=O$4+6,$F21&gt;=O$4),"■","")</f>
        <v/>
      </c>
      <c r="P21" s="7">
        <f>IF(AND($E21&lt;=P$4+6,$F21&gt;=P$4),"■","")</f>
        <v/>
      </c>
    </row>
    <row r="22" ht="4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44" customHeight="1">
      <c r="A23" s="2" t="n"/>
      <c r="B23" s="2" t="n"/>
      <c r="C23" s="2" t="n"/>
      <c r="D23" s="2" t="n"/>
      <c r="E23" s="2" t="n"/>
      <c r="F23" s="2" t="n"/>
      <c r="G23" s="2" t="inlineStr">
        <is>
          <t>合计</t>
        </is>
      </c>
      <c r="H23" s="6">
        <f>SUM(H6:H21)</f>
        <v/>
      </c>
      <c r="I23" s="2" t="n"/>
      <c r="J23" s="6">
        <f>SUM(J6:J21)</f>
        <v/>
      </c>
      <c r="K23" s="2" t="n"/>
      <c r="L23" s="2" t="n"/>
    </row>
  </sheetData>
  <autoFilter ref="A5:P21"/>
  <mergeCells count="2">
    <mergeCell ref="A1:P1"/>
    <mergeCell ref="A2:P2"/>
  </mergeCells>
  <conditionalFormatting sqref="M6:P21">
    <cfRule type="expression" priority="1" dxfId="0">
      <formula>AND($C6="产品",$E6&lt;=M$4+6,$F6&gt;=M$4)</formula>
    </cfRule>
    <cfRule type="expression" priority="2" dxfId="1">
      <formula>AND($C6="后端/数据",$E6&lt;=M$4+6,$F6&gt;=M$4)</formula>
    </cfRule>
    <cfRule type="expression" priority="3" dxfId="2">
      <formula>AND($C6="前端",$E6&lt;=M$4+6,$F6&gt;=M$4)</formula>
    </cfRule>
    <cfRule type="expression" priority="4" dxfId="3">
      <formula>AND($C6="AI",$E6&lt;=M$4+6,$F6&gt;=M$4)</formula>
    </cfRule>
  </conditionalFormatting>
  <dataValidations count="1">
    <dataValidation sqref="I6:I21" showDropDown="0" showInputMessage="0" showErrorMessage="1" allowBlank="0" error="请选择0、0.25、0.5、0.75、1，且需保留验收依据。" type="list">
      <formula1>"0,0.25,0.5,0.75,1"</formula1>
    </dataValidation>
  </dataValidations>
  <pageMargins left="0.75" right="0.75" top="1" bottom="1" header="0.5" footer="0.5"/>
  <pageSetup orientation="landscape" paperSize="8" fitToHeight="1" fitToWidth="1"/>
  <headerFooter>
    <oddHeader/>
    <oddFooter>&amp;CAI＋代谢Demo | 计划基线 |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  <col width="70" customWidth="1" min="4" max="4"/>
    <col width="45" customWidth="1" min="5" max="5"/>
  </cols>
  <sheetData>
    <row r="1" ht="34" customHeight="1">
      <c r="A1" s="1" t="inlineStr">
        <is>
          <t>Demo角色分工｜3–4人，按岗位认领</t>
        </is>
      </c>
    </row>
    <row r="2" ht="32" customHeight="1">
      <c r="A2" s="2" t="inlineStr">
        <is>
          <t>临床顾问是内容支持角色；本表是建议分工，不是已经落实的人员配置。</t>
        </is>
      </c>
    </row>
    <row r="3"/>
    <row r="4"/>
    <row r="5" ht="32" customHeight="1">
      <c r="A5" s="4" t="inlineStr">
        <is>
          <t>角色</t>
        </is>
      </c>
      <c r="B5" s="4" t="inlineStr">
        <is>
          <t>建议配置</t>
        </is>
      </c>
      <c r="C5" s="4" t="inlineStr">
        <is>
          <t>主要工作</t>
        </is>
      </c>
      <c r="D5" s="4" t="inlineStr">
        <is>
          <t>可兼任方式</t>
        </is>
      </c>
      <c r="E5" s="4" t="inlineStr">
        <is>
          <t>任务ID</t>
        </is>
      </c>
    </row>
    <row r="6" ht="44" customHeight="1">
      <c r="A6" s="2" t="inlineStr">
        <is>
          <t>项目/产品</t>
        </is>
      </c>
      <c r="B6" s="2" t="inlineStr">
        <is>
          <t>1人</t>
        </is>
      </c>
      <c r="C6" s="2" t="inlineStr">
        <is>
          <t>场景范围、原型协调、风险边界、验收与演示</t>
        </is>
      </c>
      <c r="D6" s="2" t="inlineStr">
        <is>
          <t>兼任设计/测试组织</t>
        </is>
      </c>
      <c r="E6" s="2" t="inlineStr">
        <is>
          <t>D01/D13/D15</t>
        </is>
      </c>
    </row>
    <row r="7" ht="44" customHeight="1">
      <c r="A7" s="2" t="inlineStr">
        <is>
          <t>前端</t>
        </is>
      </c>
      <c r="B7" s="2" t="inlineStr">
        <is>
          <t>1人</t>
        </is>
      </c>
      <c r="C7" s="2" t="inlineStr">
        <is>
          <t>曲线、画像、建议、模拟审核与反馈页面</t>
        </is>
      </c>
      <c r="D7" s="2" t="inlineStr">
        <is>
          <t>同一网页覆盖患者/医生视图</t>
        </is>
      </c>
      <c r="E7" s="2" t="inlineStr">
        <is>
          <t>D04/D06/D08/D12</t>
        </is>
      </c>
    </row>
    <row r="8" ht="44" customHeight="1">
      <c r="A8" s="2" t="inlineStr">
        <is>
          <t>后端/数据</t>
        </is>
      </c>
      <c r="B8" s="2" t="inlineStr">
        <is>
          <t>1人</t>
        </is>
      </c>
      <c r="C8" s="2" t="inlineStr">
        <is>
          <t>样本导入、统计存储、审核接口、联调与部署</t>
        </is>
      </c>
      <c r="D8" s="2" t="inlineStr">
        <is>
          <t>合并数据与基础设施职责</t>
        </is>
      </c>
      <c r="E8" s="2" t="inlineStr">
        <is>
          <t>D02/D03/D05/D07/D11/D14/D16</t>
        </is>
      </c>
    </row>
    <row r="9" ht="44" customHeight="1">
      <c r="A9" s="2" t="inlineStr">
        <is>
          <t>AI</t>
        </is>
      </c>
      <c r="B9" s="2" t="inlineStr">
        <is>
          <t>1人或兼任</t>
        </is>
      </c>
      <c r="C9" s="2" t="inlineStr">
        <is>
          <t>解释适配器、饮食/活动候选、合并与降级</t>
        </is>
      </c>
      <c r="D9" s="2" t="inlineStr">
        <is>
          <t>3人时可由有能力的后端兼任，减少可选LLM联调</t>
        </is>
      </c>
      <c r="E9" s="2" t="inlineStr">
        <is>
          <t>D09/D10</t>
        </is>
      </c>
    </row>
    <row r="10" ht="44" customHeight="1">
      <c r="A10" s="2" t="inlineStr">
        <is>
          <t>临床顾问</t>
        </is>
      </c>
      <c r="B10" s="2" t="inlineStr">
        <is>
          <t>内容支持</t>
        </is>
      </c>
      <c r="C10" s="2" t="inlineStr">
        <is>
          <t>审核演示内容、适用条件和禁忌边界</t>
        </is>
      </c>
      <c r="D10" s="2" t="inlineStr">
        <is>
          <t>无人可审核时仅用一般教育与模板</t>
        </is>
      </c>
      <c r="E10" s="2" t="inlineStr">
        <is>
          <t>协作D10/D13</t>
        </is>
      </c>
    </row>
  </sheetData>
  <mergeCells count="2">
    <mergeCell ref="A2:E2"/>
    <mergeCell ref="A1:E1"/>
  </mergeCells>
  <pageMargins left="0.75" right="0.75" top="1" bottom="1" header="0.5" footer="0.5"/>
  <pageSetup orientation="landscape" paperSize="8" fitToHeight="1" fitToWidth="1"/>
  <headerFooter>
    <oddHeader/>
    <oddFooter>&amp;CAI＋代谢Demo | 计划基线 |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6" customWidth="1" min="4" max="4"/>
    <col width="75" customWidth="1" min="5" max="5"/>
    <col width="40" customWidth="1" min="6" max="6"/>
  </cols>
  <sheetData>
    <row r="1" ht="34" customHeight="1">
      <c r="A1" s="1" t="inlineStr">
        <is>
          <t>四周项目计划</t>
        </is>
      </c>
    </row>
    <row r="2" ht="32" customHeight="1">
      <c r="A2" s="2" t="inlineStr">
        <is>
          <t>默认2026-10-19启动；周末里程碑是计划，不代表已完成。</t>
        </is>
      </c>
    </row>
    <row r="3"/>
    <row r="4"/>
    <row r="5" ht="32" customHeight="1">
      <c r="A5" s="4" t="inlineStr">
        <is>
          <t>周次</t>
        </is>
      </c>
      <c r="B5" s="4" t="inlineStr">
        <is>
          <t>重点</t>
        </is>
      </c>
      <c r="C5" s="4" t="inlineStr">
        <is>
          <t>计划开始</t>
        </is>
      </c>
      <c r="D5" s="4" t="inlineStr">
        <is>
          <t>计划完成</t>
        </is>
      </c>
      <c r="E5" s="4" t="inlineStr">
        <is>
          <t>周末验收</t>
        </is>
      </c>
      <c r="F5" s="4" t="inlineStr">
        <is>
          <t>协作范围</t>
        </is>
      </c>
    </row>
    <row r="6" ht="44" customHeight="1">
      <c r="A6" s="2" t="inlineStr">
        <is>
          <t>W1</t>
        </is>
      </c>
      <c r="B6" s="2" t="inlineStr">
        <is>
          <t>场景、样本与契约</t>
        </is>
      </c>
      <c r="C6" s="8" t="n">
        <v>46314</v>
      </c>
      <c r="D6" s="8" t="n">
        <v>46320</v>
      </c>
      <c r="E6" s="2" t="inlineStr">
        <is>
          <t>范围/接口草案冻结，样本与双视图原型走查</t>
        </is>
      </c>
      <c r="F6" s="2" t="inlineStr">
        <is>
          <t>产品＋前端＋后端/数据＋AI</t>
        </is>
      </c>
    </row>
    <row r="7" ht="44" customHeight="1">
      <c r="A7" s="2" t="inlineStr">
        <is>
          <t>W2</t>
        </is>
      </c>
      <c r="B7" s="2" t="inlineStr">
        <is>
          <t>曲线、画像与基础解释</t>
        </is>
      </c>
      <c r="C7" s="8" t="n">
        <v>46321</v>
      </c>
      <c r="D7" s="8" t="n">
        <v>46327</v>
      </c>
      <c r="E7" s="2" t="inlineStr">
        <is>
          <t>样本能导入，曲线与画像可解释</t>
        </is>
      </c>
      <c r="F7" s="2" t="inlineStr">
        <is>
          <t>产品＋前端＋后端/数据＋AI</t>
        </is>
      </c>
    </row>
    <row r="8" ht="44" customHeight="1">
      <c r="A8" s="2" t="inlineStr">
        <is>
          <t>W3</t>
        </is>
      </c>
      <c r="B8" s="2" t="inlineStr">
        <is>
          <t>角色建议、审核与反馈</t>
        </is>
      </c>
      <c r="C8" s="8" t="n">
        <v>46328</v>
      </c>
      <c r="D8" s="8" t="n">
        <v>46334</v>
      </c>
      <c r="E8" s="2" t="inlineStr">
        <is>
          <t>两角色候选→模拟审核→用户反馈</t>
        </is>
      </c>
      <c r="F8" s="2" t="inlineStr">
        <is>
          <t>产品＋前端＋后端/数据＋AI</t>
        </is>
      </c>
    </row>
    <row r="9" ht="44" customHeight="1">
      <c r="A9" s="2" t="inlineStr">
        <is>
          <t>W4</t>
        </is>
      </c>
      <c r="B9" s="2" t="inlineStr">
        <is>
          <t>联调、验收与演示交接</t>
        </is>
      </c>
      <c r="C9" s="8" t="n">
        <v>46335</v>
      </c>
      <c r="D9" s="8" t="n">
        <v>46341</v>
      </c>
      <c r="E9" s="2" t="inlineStr">
        <is>
          <t>稳定演示、降级提示、启动与重置说明</t>
        </is>
      </c>
      <c r="F9" s="2" t="inlineStr">
        <is>
          <t>产品＋前端＋后端/数据＋AI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8" fitToHeight="1" fitToWidth="1"/>
  <headerFooter>
    <oddHeader/>
    <oddFooter>&amp;CAI＋代谢Demo | 计划基线 |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  <col width="90" customWidth="1" min="4" max="4"/>
  </cols>
  <sheetData>
    <row r="1" ht="34" customHeight="1">
      <c r="A1" s="1" t="inlineStr">
        <is>
          <t>Demo轻量里程碑</t>
        </is>
      </c>
    </row>
    <row r="2" ht="32" customHeight="1">
      <c r="A2" s="2" t="inlineStr">
        <is>
          <t>本期使用Demo验收点；真实试点再进入原IPD与适用机构准入流程。</t>
        </is>
      </c>
    </row>
    <row r="3"/>
    <row r="4"/>
    <row r="5" ht="32" customHeight="1">
      <c r="A5" s="4" t="inlineStr">
        <is>
          <t>里程碑</t>
        </is>
      </c>
      <c r="B5" s="4" t="inlineStr">
        <is>
          <t>目标日期</t>
        </is>
      </c>
      <c r="C5" s="4" t="inlineStr">
        <is>
          <t>牵头角色</t>
        </is>
      </c>
      <c r="D5" s="4" t="inlineStr">
        <is>
          <t>验收证据</t>
        </is>
      </c>
    </row>
    <row r="6" ht="44" customHeight="1">
      <c r="A6" s="2" t="inlineStr">
        <is>
          <t>范围/契约草案冻结</t>
        </is>
      </c>
      <c r="B6" s="8" t="n">
        <v>46318</v>
      </c>
      <c r="C6" s="2" t="inlineStr">
        <is>
          <t>产品＋后端/数据</t>
        </is>
      </c>
      <c r="D6" s="2" t="inlineStr">
        <is>
          <t>一个场景，冻结接口草案</t>
        </is>
      </c>
    </row>
    <row r="7" ht="44" customHeight="1">
      <c r="A7" s="2" t="inlineStr">
        <is>
          <t>样本与原型走查</t>
        </is>
      </c>
      <c r="B7" s="8" t="n">
        <v>46320</v>
      </c>
      <c r="C7" s="2" t="inlineStr">
        <is>
          <t>产品＋前端＋后端/数据</t>
        </is>
      </c>
      <c r="D7" s="2" t="inlineStr">
        <is>
          <t>内置样本与双视图路径可走查</t>
        </is>
      </c>
    </row>
    <row r="8" ht="44" customHeight="1">
      <c r="A8" s="2" t="inlineStr">
        <is>
          <t>数据与画像验收</t>
        </is>
      </c>
      <c r="B8" s="8" t="n">
        <v>46327</v>
      </c>
      <c r="C8" s="2" t="inlineStr">
        <is>
          <t>产品＋前端＋后端/数据＋AI</t>
        </is>
      </c>
      <c r="D8" s="2" t="inlineStr">
        <is>
          <t>曲线、统计、画像与基础解释可演示</t>
        </is>
      </c>
    </row>
    <row r="9" ht="44" customHeight="1">
      <c r="A9" s="2" t="inlineStr">
        <is>
          <t>审核反馈流程验收</t>
        </is>
      </c>
      <c r="B9" s="8" t="n">
        <v>46334</v>
      </c>
      <c r="C9" s="2" t="inlineStr">
        <is>
          <t>产品＋全员</t>
        </is>
      </c>
      <c r="D9" s="2" t="inlineStr">
        <is>
          <t>建议经过模拟审核并记录反馈</t>
        </is>
      </c>
    </row>
    <row r="10" ht="44" customHeight="1">
      <c r="A10" s="2" t="inlineStr">
        <is>
          <t>Demo交付</t>
        </is>
      </c>
      <c r="B10" s="8" t="n">
        <v>46341</v>
      </c>
      <c r="C10" s="2" t="inlineStr">
        <is>
          <t>产品＋全员</t>
        </is>
      </c>
      <c r="D10" s="2" t="inlineStr">
        <is>
          <t>稳定闭环、演示脚本与已知限制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8" fitToHeight="1" fitToWidth="1"/>
  <headerFooter>
    <oddHeader/>
    <oddFooter>&amp;CAI＋代谢Demo | 计划基线 |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25" customWidth="1" min="2" max="2"/>
  </cols>
  <sheetData>
    <row r="1" ht="44" customHeight="1">
      <c r="A1" s="2" t="inlineStr">
        <is>
          <t>说明</t>
        </is>
      </c>
      <c r="B1" s="2" t="inlineStr">
        <is>
          <t>内容</t>
        </is>
      </c>
    </row>
    <row r="2" ht="44" customHeight="1">
      <c r="A2" s="2" t="inlineStr">
        <is>
          <t>版本与范围</t>
        </is>
      </c>
      <c r="B2" s="2" t="inlineStr">
        <is>
          <t>Demo v0.1；2026-10-13编制。仅设计和计划，尚未开发运行。正式项目原排期不受本文件影响。</t>
        </is>
      </c>
    </row>
    <row r="3" ht="44" customHeight="1">
      <c r="A3" s="2" t="inlineStr">
        <is>
          <t>时间轴</t>
        </is>
      </c>
      <c r="B3" s="2" t="inlineStr">
        <is>
          <t>4周，2026-10-19～11-15，起止日计入时长。Excel按周示意；PNG/SVG/PDF按日定位。</t>
        </is>
      </c>
    </row>
    <row r="4" ht="44" customHeight="1">
      <c r="A4" s="2" t="inlineStr">
        <is>
          <t>修改日期</t>
        </is>
      </c>
      <c r="B4" s="2" t="inlineStr">
        <is>
          <t>修改任务表E/F列；公式自动计算天数和周条带。超出4周时需扩展列或重新基线化。首次打开请自动重算。</t>
        </is>
      </c>
    </row>
    <row r="5" ht="44" customHeight="1">
      <c r="A5" s="2" t="inlineStr">
        <is>
          <t>进度</t>
        </is>
      </c>
      <c r="B5" s="2" t="inlineStr">
        <is>
          <t>I列0/0.25/0.5/0.75/1分别对应未启动/方案评审/模块验收/集成/目标场景验收；纯文档采用专属验收状态。J23为总实际贡献，当前0%。</t>
        </is>
      </c>
    </row>
    <row r="6" ht="44" customHeight="1">
      <c r="A6" s="2" t="inlineStr">
        <is>
          <t>依赖含义</t>
        </is>
      </c>
      <c r="B6" s="2" t="inlineStr">
        <is>
          <t>FS：前项完成后才能开始；SS：前项开始后可并行，先用冻结接口/样本联调。完整集成仍需前项达到交付门槛。</t>
        </is>
      </c>
    </row>
    <row r="7" ht="44" customHeight="1">
      <c r="A7" s="2" t="inlineStr">
        <is>
          <t>资源</t>
        </is>
      </c>
      <c r="B7" s="2" t="inlineStr">
        <is>
          <t>3–4人是建议。若后端兼任AI，应优先模板模式并检查工作量；本文件未进行资源约束排程或关键路径计算。</t>
        </is>
      </c>
    </row>
    <row r="8" ht="44" customHeight="1">
      <c r="A8" s="2" t="inlineStr">
        <is>
          <t>数据与AI</t>
        </is>
      </c>
      <c r="B8" s="2" t="inlineStr">
        <is>
          <t>默认使用模拟样本或授权去标识数据。模板模式无密钥可演示；LLM联调可选并标明模式，不宣称自有模型已训练。</t>
        </is>
      </c>
    </row>
    <row r="9" ht="44" customHeight="1">
      <c r="A9" s="2" t="inlineStr">
        <is>
          <t>医生视图</t>
        </is>
      </c>
      <c r="B9" s="2" t="inlineStr">
        <is>
          <t>模拟审核与视图切换不代表真实医生身份验证或正式医疗准入。Demo不用于诊疗。</t>
        </is>
      </c>
    </row>
    <row r="10" ht="44" customHeight="1">
      <c r="A10" s="2" t="inlineStr">
        <is>
          <t>更新静态图</t>
        </is>
      </c>
      <c r="B10" s="2" t="inlineStr">
        <is>
          <t>编辑Excel不会更新PNG/PDF；先维护demo-tasks.csv，再运行build_demo_plan.py。运行会覆盖Excel，保留手工改动后再执行。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2026-10-13T05:34:18Z</dcterms:created>
  <dcterms:modified xmlns:dcterms="http://purl.org/dc/terms/" xmlns:xsi="http://www.w3.org/2001/XMLSchema-instance" xsi:type="dcterms:W3CDTF">2026-10-13T05:34:18Z</dcterms:modified>
</cp:coreProperties>
</file>